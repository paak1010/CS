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현재_통합_문서" hidePivotFieldList="1"/>
  <mc:AlternateContent xmlns:mc="http://schemas.openxmlformats.org/markup-compatibility/2006">
    <mc:Choice Requires="x15">
      <x15ac:absPath xmlns:x15ac="http://schemas.microsoft.com/office/spreadsheetml/2010/11/ac" url="C:\Users\jhpark\OneDrive - 맨소래담\바탕 화면\편의점 &amp; 샘플\"/>
    </mc:Choice>
  </mc:AlternateContent>
  <xr:revisionPtr revIDLastSave="0" documentId="13_ncr:1_{4D0A594E-01DB-4972-B761-CE1863218D19}" xr6:coauthVersionLast="47" xr6:coauthVersionMax="47" xr10:uidLastSave="{00000000-0000-0000-0000-000000000000}"/>
  <bookViews>
    <workbookView xWindow="-96" yWindow="-96" windowWidth="23232" windowHeight="12552" activeTab="1" xr2:uid="{00000000-000D-0000-FFFF-FFFF00000000}"/>
  </bookViews>
  <sheets>
    <sheet name="GS DATA" sheetId="1" r:id="rId1"/>
    <sheet name="GS 서식파일(수주업로드)" sheetId="2" r:id="rId2"/>
    <sheet name="GS 제품코드" sheetId="3" r:id="rId3"/>
    <sheet name="GS 점포명" sheetId="4" r:id="rId4"/>
  </sheets>
  <definedNames>
    <definedName name="_xlnm._FilterDatabase" localSheetId="0" hidden="1">'GS DATA'!$A$2:$Z$23</definedName>
    <definedName name="_xlnm._FilterDatabase" localSheetId="1" hidden="1">'GS 서식파일(수주업로드)'!$A$2:$K$36</definedName>
    <definedName name="지우기">'GS DATA'!$3:$1048576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" i="2" l="1"/>
  <c r="H7" i="2" l="1"/>
  <c r="A99" i="2"/>
  <c r="B99" i="2"/>
  <c r="C99" i="2" s="1"/>
  <c r="D99" i="2"/>
  <c r="E99" i="2" s="1"/>
  <c r="F99" i="2"/>
  <c r="G99" i="2" s="1"/>
  <c r="H99" i="2"/>
  <c r="I99" i="2"/>
  <c r="K99" i="2" s="1"/>
  <c r="J99" i="2"/>
  <c r="A100" i="2"/>
  <c r="B100" i="2"/>
  <c r="C100" i="2" s="1"/>
  <c r="D100" i="2"/>
  <c r="E100" i="2" s="1"/>
  <c r="F100" i="2"/>
  <c r="G100" i="2" s="1"/>
  <c r="H100" i="2"/>
  <c r="I100" i="2"/>
  <c r="J100" i="2"/>
  <c r="A101" i="2"/>
  <c r="B101" i="2"/>
  <c r="C101" i="2" s="1"/>
  <c r="D101" i="2"/>
  <c r="E101" i="2" s="1"/>
  <c r="F101" i="2"/>
  <c r="G101" i="2" s="1"/>
  <c r="H101" i="2"/>
  <c r="I101" i="2"/>
  <c r="J101" i="2"/>
  <c r="A102" i="2"/>
  <c r="B102" i="2"/>
  <c r="C102" i="2" s="1"/>
  <c r="D102" i="2"/>
  <c r="E102" i="2" s="1"/>
  <c r="F102" i="2"/>
  <c r="G102" i="2" s="1"/>
  <c r="H102" i="2"/>
  <c r="I102" i="2"/>
  <c r="J102" i="2"/>
  <c r="A103" i="2"/>
  <c r="B103" i="2"/>
  <c r="C103" i="2" s="1"/>
  <c r="D103" i="2"/>
  <c r="E103" i="2" s="1"/>
  <c r="F103" i="2"/>
  <c r="G103" i="2" s="1"/>
  <c r="H103" i="2"/>
  <c r="I103" i="2"/>
  <c r="J103" i="2"/>
  <c r="A104" i="2"/>
  <c r="B104" i="2"/>
  <c r="C104" i="2" s="1"/>
  <c r="D104" i="2"/>
  <c r="E104" i="2" s="1"/>
  <c r="F104" i="2"/>
  <c r="G104" i="2" s="1"/>
  <c r="H104" i="2"/>
  <c r="I104" i="2"/>
  <c r="J104" i="2"/>
  <c r="A105" i="2"/>
  <c r="B105" i="2"/>
  <c r="C105" i="2" s="1"/>
  <c r="D105" i="2"/>
  <c r="E105" i="2" s="1"/>
  <c r="F105" i="2"/>
  <c r="G105" i="2" s="1"/>
  <c r="H105" i="2"/>
  <c r="I105" i="2"/>
  <c r="J105" i="2"/>
  <c r="A106" i="2"/>
  <c r="B106" i="2"/>
  <c r="C106" i="2" s="1"/>
  <c r="D106" i="2"/>
  <c r="E106" i="2" s="1"/>
  <c r="F106" i="2"/>
  <c r="G106" i="2" s="1"/>
  <c r="H106" i="2"/>
  <c r="I106" i="2"/>
  <c r="J106" i="2"/>
  <c r="A107" i="2"/>
  <c r="B107" i="2"/>
  <c r="C107" i="2" s="1"/>
  <c r="D107" i="2"/>
  <c r="E107" i="2" s="1"/>
  <c r="F107" i="2"/>
  <c r="G107" i="2" s="1"/>
  <c r="H107" i="2"/>
  <c r="I107" i="2"/>
  <c r="J107" i="2"/>
  <c r="A108" i="2"/>
  <c r="B108" i="2"/>
  <c r="C108" i="2" s="1"/>
  <c r="D108" i="2"/>
  <c r="E108" i="2" s="1"/>
  <c r="F108" i="2"/>
  <c r="G108" i="2" s="1"/>
  <c r="H108" i="2"/>
  <c r="I108" i="2"/>
  <c r="J108" i="2"/>
  <c r="A109" i="2"/>
  <c r="B109" i="2"/>
  <c r="C109" i="2" s="1"/>
  <c r="D109" i="2"/>
  <c r="E109" i="2" s="1"/>
  <c r="F109" i="2"/>
  <c r="G109" i="2" s="1"/>
  <c r="H109" i="2"/>
  <c r="I109" i="2"/>
  <c r="J109" i="2"/>
  <c r="A110" i="2"/>
  <c r="B110" i="2"/>
  <c r="C110" i="2" s="1"/>
  <c r="D110" i="2"/>
  <c r="E110" i="2" s="1"/>
  <c r="F110" i="2"/>
  <c r="G110" i="2" s="1"/>
  <c r="H110" i="2"/>
  <c r="I110" i="2"/>
  <c r="J110" i="2"/>
  <c r="A111" i="2"/>
  <c r="B111" i="2"/>
  <c r="C111" i="2" s="1"/>
  <c r="D111" i="2"/>
  <c r="E111" i="2" s="1"/>
  <c r="F111" i="2"/>
  <c r="G111" i="2" s="1"/>
  <c r="H111" i="2"/>
  <c r="I111" i="2"/>
  <c r="J111" i="2"/>
  <c r="A112" i="2"/>
  <c r="B112" i="2"/>
  <c r="C112" i="2" s="1"/>
  <c r="D112" i="2"/>
  <c r="E112" i="2" s="1"/>
  <c r="F112" i="2"/>
  <c r="G112" i="2" s="1"/>
  <c r="H112" i="2"/>
  <c r="I112" i="2"/>
  <c r="J112" i="2"/>
  <c r="A113" i="2"/>
  <c r="B113" i="2"/>
  <c r="C113" i="2" s="1"/>
  <c r="D113" i="2"/>
  <c r="E113" i="2" s="1"/>
  <c r="F113" i="2"/>
  <c r="G113" i="2" s="1"/>
  <c r="H113" i="2"/>
  <c r="I113" i="2"/>
  <c r="J113" i="2"/>
  <c r="A114" i="2"/>
  <c r="B114" i="2"/>
  <c r="C114" i="2" s="1"/>
  <c r="D114" i="2"/>
  <c r="E114" i="2" s="1"/>
  <c r="F114" i="2"/>
  <c r="G114" i="2" s="1"/>
  <c r="H114" i="2"/>
  <c r="I114" i="2"/>
  <c r="J114" i="2"/>
  <c r="A115" i="2"/>
  <c r="B115" i="2"/>
  <c r="C115" i="2" s="1"/>
  <c r="D115" i="2"/>
  <c r="E115" i="2" s="1"/>
  <c r="F115" i="2"/>
  <c r="G115" i="2" s="1"/>
  <c r="H115" i="2"/>
  <c r="I115" i="2"/>
  <c r="J115" i="2"/>
  <c r="A116" i="2"/>
  <c r="B116" i="2"/>
  <c r="C116" i="2" s="1"/>
  <c r="D116" i="2"/>
  <c r="E116" i="2" s="1"/>
  <c r="F116" i="2"/>
  <c r="G116" i="2" s="1"/>
  <c r="H116" i="2"/>
  <c r="I116" i="2"/>
  <c r="J116" i="2"/>
  <c r="A117" i="2"/>
  <c r="B117" i="2"/>
  <c r="C117" i="2" s="1"/>
  <c r="D117" i="2"/>
  <c r="E117" i="2" s="1"/>
  <c r="F117" i="2"/>
  <c r="G117" i="2" s="1"/>
  <c r="H117" i="2"/>
  <c r="I117" i="2"/>
  <c r="J117" i="2"/>
  <c r="A118" i="2"/>
  <c r="B118" i="2"/>
  <c r="C118" i="2" s="1"/>
  <c r="D118" i="2"/>
  <c r="E118" i="2" s="1"/>
  <c r="F118" i="2"/>
  <c r="G118" i="2" s="1"/>
  <c r="H118" i="2"/>
  <c r="I118" i="2"/>
  <c r="J118" i="2"/>
  <c r="A119" i="2"/>
  <c r="B119" i="2"/>
  <c r="C119" i="2" s="1"/>
  <c r="D119" i="2"/>
  <c r="E119" i="2" s="1"/>
  <c r="F119" i="2"/>
  <c r="G119" i="2" s="1"/>
  <c r="H119" i="2"/>
  <c r="I119" i="2"/>
  <c r="J119" i="2"/>
  <c r="A120" i="2"/>
  <c r="B120" i="2"/>
  <c r="C120" i="2" s="1"/>
  <c r="D120" i="2"/>
  <c r="E120" i="2" s="1"/>
  <c r="F120" i="2"/>
  <c r="G120" i="2" s="1"/>
  <c r="H120" i="2"/>
  <c r="I120" i="2"/>
  <c r="J120" i="2"/>
  <c r="A121" i="2"/>
  <c r="B121" i="2"/>
  <c r="C121" i="2"/>
  <c r="D121" i="2"/>
  <c r="E121" i="2" s="1"/>
  <c r="F121" i="2"/>
  <c r="G121" i="2" s="1"/>
  <c r="H121" i="2"/>
  <c r="I121" i="2"/>
  <c r="J121" i="2"/>
  <c r="A122" i="2"/>
  <c r="B122" i="2"/>
  <c r="C122" i="2" s="1"/>
  <c r="D122" i="2"/>
  <c r="E122" i="2" s="1"/>
  <c r="F122" i="2"/>
  <c r="G122" i="2" s="1"/>
  <c r="H122" i="2"/>
  <c r="I122" i="2"/>
  <c r="J122" i="2"/>
  <c r="A123" i="2"/>
  <c r="B123" i="2"/>
  <c r="C123" i="2" s="1"/>
  <c r="D123" i="2"/>
  <c r="E123" i="2" s="1"/>
  <c r="F123" i="2"/>
  <c r="G123" i="2" s="1"/>
  <c r="H123" i="2"/>
  <c r="I123" i="2"/>
  <c r="J123" i="2"/>
  <c r="A124" i="2"/>
  <c r="B124" i="2"/>
  <c r="C124" i="2" s="1"/>
  <c r="D124" i="2"/>
  <c r="E124" i="2" s="1"/>
  <c r="F124" i="2"/>
  <c r="G124" i="2" s="1"/>
  <c r="H124" i="2"/>
  <c r="I124" i="2"/>
  <c r="J124" i="2"/>
  <c r="A125" i="2"/>
  <c r="B125" i="2"/>
  <c r="C125" i="2" s="1"/>
  <c r="D125" i="2"/>
  <c r="E125" i="2" s="1"/>
  <c r="F125" i="2"/>
  <c r="G125" i="2" s="1"/>
  <c r="H125" i="2"/>
  <c r="I125" i="2"/>
  <c r="J125" i="2"/>
  <c r="A126" i="2"/>
  <c r="B126" i="2"/>
  <c r="C126" i="2" s="1"/>
  <c r="D126" i="2"/>
  <c r="E126" i="2" s="1"/>
  <c r="F126" i="2"/>
  <c r="G126" i="2" s="1"/>
  <c r="H126" i="2"/>
  <c r="I126" i="2"/>
  <c r="J126" i="2"/>
  <c r="A127" i="2"/>
  <c r="B127" i="2"/>
  <c r="C127" i="2" s="1"/>
  <c r="D127" i="2"/>
  <c r="E127" i="2" s="1"/>
  <c r="F127" i="2"/>
  <c r="G127" i="2" s="1"/>
  <c r="H127" i="2"/>
  <c r="I127" i="2"/>
  <c r="J127" i="2"/>
  <c r="A128" i="2"/>
  <c r="B128" i="2"/>
  <c r="C128" i="2" s="1"/>
  <c r="D128" i="2"/>
  <c r="E128" i="2" s="1"/>
  <c r="F128" i="2"/>
  <c r="G128" i="2" s="1"/>
  <c r="H128" i="2"/>
  <c r="I128" i="2"/>
  <c r="K128" i="2" s="1"/>
  <c r="J128" i="2"/>
  <c r="A129" i="2"/>
  <c r="B129" i="2"/>
  <c r="C129" i="2" s="1"/>
  <c r="D129" i="2"/>
  <c r="E129" i="2" s="1"/>
  <c r="F129" i="2"/>
  <c r="G129" i="2" s="1"/>
  <c r="H129" i="2"/>
  <c r="I129" i="2"/>
  <c r="J129" i="2"/>
  <c r="A130" i="2"/>
  <c r="B130" i="2"/>
  <c r="C130" i="2" s="1"/>
  <c r="D130" i="2"/>
  <c r="E130" i="2" s="1"/>
  <c r="F130" i="2"/>
  <c r="G130" i="2" s="1"/>
  <c r="H130" i="2"/>
  <c r="I130" i="2"/>
  <c r="J130" i="2"/>
  <c r="A131" i="2"/>
  <c r="B131" i="2"/>
  <c r="C131" i="2" s="1"/>
  <c r="D131" i="2"/>
  <c r="E131" i="2" s="1"/>
  <c r="F131" i="2"/>
  <c r="G131" i="2" s="1"/>
  <c r="H131" i="2"/>
  <c r="I131" i="2"/>
  <c r="J131" i="2"/>
  <c r="A132" i="2"/>
  <c r="B132" i="2"/>
  <c r="C132" i="2" s="1"/>
  <c r="D132" i="2"/>
  <c r="E132" i="2" s="1"/>
  <c r="F132" i="2"/>
  <c r="G132" i="2" s="1"/>
  <c r="H132" i="2"/>
  <c r="I132" i="2"/>
  <c r="J132" i="2"/>
  <c r="A133" i="2"/>
  <c r="B133" i="2"/>
  <c r="C133" i="2" s="1"/>
  <c r="D133" i="2"/>
  <c r="E133" i="2" s="1"/>
  <c r="F133" i="2"/>
  <c r="G133" i="2" s="1"/>
  <c r="H133" i="2"/>
  <c r="I133" i="2"/>
  <c r="J133" i="2"/>
  <c r="A134" i="2"/>
  <c r="B134" i="2"/>
  <c r="C134" i="2" s="1"/>
  <c r="D134" i="2"/>
  <c r="E134" i="2" s="1"/>
  <c r="F134" i="2"/>
  <c r="G134" i="2" s="1"/>
  <c r="H134" i="2"/>
  <c r="I134" i="2"/>
  <c r="J134" i="2"/>
  <c r="A135" i="2"/>
  <c r="B135" i="2"/>
  <c r="C135" i="2" s="1"/>
  <c r="D135" i="2"/>
  <c r="E135" i="2" s="1"/>
  <c r="F135" i="2"/>
  <c r="G135" i="2" s="1"/>
  <c r="H135" i="2"/>
  <c r="I135" i="2"/>
  <c r="J135" i="2"/>
  <c r="K135" i="2" s="1"/>
  <c r="A136" i="2"/>
  <c r="B136" i="2"/>
  <c r="C136" i="2" s="1"/>
  <c r="D136" i="2"/>
  <c r="E136" i="2" s="1"/>
  <c r="F136" i="2"/>
  <c r="G136" i="2"/>
  <c r="H136" i="2"/>
  <c r="I136" i="2"/>
  <c r="K136" i="2" s="1"/>
  <c r="J136" i="2"/>
  <c r="A137" i="2"/>
  <c r="B137" i="2"/>
  <c r="C137" i="2" s="1"/>
  <c r="D137" i="2"/>
  <c r="E137" i="2" s="1"/>
  <c r="F137" i="2"/>
  <c r="G137" i="2" s="1"/>
  <c r="H137" i="2"/>
  <c r="I137" i="2"/>
  <c r="J137" i="2"/>
  <c r="A138" i="2"/>
  <c r="B138" i="2"/>
  <c r="C138" i="2" s="1"/>
  <c r="D138" i="2"/>
  <c r="E138" i="2" s="1"/>
  <c r="F138" i="2"/>
  <c r="G138" i="2" s="1"/>
  <c r="H138" i="2"/>
  <c r="I138" i="2"/>
  <c r="J138" i="2"/>
  <c r="A139" i="2"/>
  <c r="B139" i="2"/>
  <c r="C139" i="2" s="1"/>
  <c r="D139" i="2"/>
  <c r="E139" i="2" s="1"/>
  <c r="F139" i="2"/>
  <c r="G139" i="2" s="1"/>
  <c r="H139" i="2"/>
  <c r="I139" i="2"/>
  <c r="K139" i="2" s="1"/>
  <c r="J139" i="2"/>
  <c r="A140" i="2"/>
  <c r="B140" i="2"/>
  <c r="C140" i="2" s="1"/>
  <c r="D140" i="2"/>
  <c r="E140" i="2" s="1"/>
  <c r="F140" i="2"/>
  <c r="G140" i="2" s="1"/>
  <c r="H140" i="2"/>
  <c r="I140" i="2"/>
  <c r="K140" i="2" s="1"/>
  <c r="J140" i="2"/>
  <c r="A141" i="2"/>
  <c r="B141" i="2"/>
  <c r="C141" i="2" s="1"/>
  <c r="D141" i="2"/>
  <c r="E141" i="2" s="1"/>
  <c r="F141" i="2"/>
  <c r="G141" i="2" s="1"/>
  <c r="H141" i="2"/>
  <c r="I141" i="2"/>
  <c r="J141" i="2"/>
  <c r="K141" i="2" s="1"/>
  <c r="A142" i="2"/>
  <c r="B142" i="2"/>
  <c r="C142" i="2" s="1"/>
  <c r="D142" i="2"/>
  <c r="E142" i="2" s="1"/>
  <c r="F142" i="2"/>
  <c r="G142" i="2" s="1"/>
  <c r="H142" i="2"/>
  <c r="I142" i="2"/>
  <c r="K142" i="2" s="1"/>
  <c r="J142" i="2"/>
  <c r="A143" i="2"/>
  <c r="B143" i="2"/>
  <c r="C143" i="2" s="1"/>
  <c r="D143" i="2"/>
  <c r="E143" i="2" s="1"/>
  <c r="F143" i="2"/>
  <c r="G143" i="2" s="1"/>
  <c r="H143" i="2"/>
  <c r="I143" i="2"/>
  <c r="J143" i="2"/>
  <c r="K143" i="2" s="1"/>
  <c r="A144" i="2"/>
  <c r="B144" i="2"/>
  <c r="C144" i="2" s="1"/>
  <c r="D144" i="2"/>
  <c r="E144" i="2" s="1"/>
  <c r="F144" i="2"/>
  <c r="G144" i="2" s="1"/>
  <c r="H144" i="2"/>
  <c r="I144" i="2"/>
  <c r="K144" i="2" s="1"/>
  <c r="J144" i="2"/>
  <c r="A145" i="2"/>
  <c r="B145" i="2"/>
  <c r="C145" i="2" s="1"/>
  <c r="D145" i="2"/>
  <c r="E145" i="2" s="1"/>
  <c r="F145" i="2"/>
  <c r="G145" i="2" s="1"/>
  <c r="H145" i="2"/>
  <c r="I145" i="2"/>
  <c r="J145" i="2"/>
  <c r="A146" i="2"/>
  <c r="B146" i="2"/>
  <c r="C146" i="2" s="1"/>
  <c r="D146" i="2"/>
  <c r="E146" i="2" s="1"/>
  <c r="F146" i="2"/>
  <c r="G146" i="2"/>
  <c r="H146" i="2"/>
  <c r="I146" i="2"/>
  <c r="K146" i="2" s="1"/>
  <c r="J146" i="2"/>
  <c r="A147" i="2"/>
  <c r="B147" i="2"/>
  <c r="C147" i="2" s="1"/>
  <c r="D147" i="2"/>
  <c r="E147" i="2" s="1"/>
  <c r="F147" i="2"/>
  <c r="G147" i="2" s="1"/>
  <c r="H147" i="2"/>
  <c r="I147" i="2"/>
  <c r="J147" i="2"/>
  <c r="A148" i="2"/>
  <c r="B148" i="2"/>
  <c r="C148" i="2" s="1"/>
  <c r="D148" i="2"/>
  <c r="E148" i="2" s="1"/>
  <c r="F148" i="2"/>
  <c r="G148" i="2" s="1"/>
  <c r="H148" i="2"/>
  <c r="I148" i="2"/>
  <c r="K148" i="2" s="1"/>
  <c r="J148" i="2"/>
  <c r="A149" i="2"/>
  <c r="B149" i="2"/>
  <c r="C149" i="2" s="1"/>
  <c r="D149" i="2"/>
  <c r="E149" i="2" s="1"/>
  <c r="F149" i="2"/>
  <c r="G149" i="2" s="1"/>
  <c r="H149" i="2"/>
  <c r="I149" i="2"/>
  <c r="J149" i="2"/>
  <c r="A150" i="2"/>
  <c r="B150" i="2"/>
  <c r="C150" i="2"/>
  <c r="D150" i="2"/>
  <c r="E150" i="2" s="1"/>
  <c r="F150" i="2"/>
  <c r="G150" i="2" s="1"/>
  <c r="H150" i="2"/>
  <c r="I150" i="2"/>
  <c r="K150" i="2" s="1"/>
  <c r="J150" i="2"/>
  <c r="A151" i="2"/>
  <c r="B151" i="2"/>
  <c r="C151" i="2" s="1"/>
  <c r="D151" i="2"/>
  <c r="E151" i="2" s="1"/>
  <c r="F151" i="2"/>
  <c r="G151" i="2" s="1"/>
  <c r="H151" i="2"/>
  <c r="I151" i="2"/>
  <c r="J151" i="2"/>
  <c r="A152" i="2"/>
  <c r="B152" i="2"/>
  <c r="C152" i="2" s="1"/>
  <c r="D152" i="2"/>
  <c r="E152" i="2" s="1"/>
  <c r="F152" i="2"/>
  <c r="G152" i="2"/>
  <c r="H152" i="2"/>
  <c r="I152" i="2"/>
  <c r="K152" i="2" s="1"/>
  <c r="J152" i="2"/>
  <c r="A153" i="2"/>
  <c r="B153" i="2"/>
  <c r="C153" i="2" s="1"/>
  <c r="D153" i="2"/>
  <c r="E153" i="2" s="1"/>
  <c r="F153" i="2"/>
  <c r="G153" i="2" s="1"/>
  <c r="H153" i="2"/>
  <c r="I153" i="2"/>
  <c r="K153" i="2" s="1"/>
  <c r="J153" i="2"/>
  <c r="A154" i="2"/>
  <c r="B154" i="2"/>
  <c r="C154" i="2" s="1"/>
  <c r="D154" i="2"/>
  <c r="E154" i="2" s="1"/>
  <c r="F154" i="2"/>
  <c r="G154" i="2" s="1"/>
  <c r="H154" i="2"/>
  <c r="I154" i="2"/>
  <c r="K154" i="2" s="1"/>
  <c r="J154" i="2"/>
  <c r="A155" i="2"/>
  <c r="B155" i="2"/>
  <c r="C155" i="2" s="1"/>
  <c r="D155" i="2"/>
  <c r="E155" i="2" s="1"/>
  <c r="F155" i="2"/>
  <c r="G155" i="2" s="1"/>
  <c r="H155" i="2"/>
  <c r="I155" i="2"/>
  <c r="J155" i="2"/>
  <c r="A156" i="2"/>
  <c r="B156" i="2"/>
  <c r="C156" i="2" s="1"/>
  <c r="D156" i="2"/>
  <c r="E156" i="2" s="1"/>
  <c r="F156" i="2"/>
  <c r="G156" i="2" s="1"/>
  <c r="H156" i="2"/>
  <c r="I156" i="2"/>
  <c r="J156" i="2"/>
  <c r="A157" i="2"/>
  <c r="B157" i="2"/>
  <c r="C157" i="2" s="1"/>
  <c r="D157" i="2"/>
  <c r="E157" i="2" s="1"/>
  <c r="F157" i="2"/>
  <c r="G157" i="2" s="1"/>
  <c r="H157" i="2"/>
  <c r="I157" i="2"/>
  <c r="K157" i="2" s="1"/>
  <c r="J157" i="2"/>
  <c r="A158" i="2"/>
  <c r="B158" i="2"/>
  <c r="C158" i="2" s="1"/>
  <c r="D158" i="2"/>
  <c r="E158" i="2" s="1"/>
  <c r="F158" i="2"/>
  <c r="G158" i="2" s="1"/>
  <c r="H158" i="2"/>
  <c r="I158" i="2"/>
  <c r="J158" i="2"/>
  <c r="K158" i="2" s="1"/>
  <c r="A159" i="2"/>
  <c r="B159" i="2"/>
  <c r="C159" i="2" s="1"/>
  <c r="D159" i="2"/>
  <c r="E159" i="2" s="1"/>
  <c r="F159" i="2"/>
  <c r="G159" i="2" s="1"/>
  <c r="H159" i="2"/>
  <c r="I159" i="2"/>
  <c r="J159" i="2"/>
  <c r="A160" i="2"/>
  <c r="B160" i="2"/>
  <c r="C160" i="2" s="1"/>
  <c r="D160" i="2"/>
  <c r="E160" i="2" s="1"/>
  <c r="F160" i="2"/>
  <c r="G160" i="2"/>
  <c r="H160" i="2"/>
  <c r="I160" i="2"/>
  <c r="J160" i="2"/>
  <c r="A161" i="2"/>
  <c r="B161" i="2"/>
  <c r="C161" i="2" s="1"/>
  <c r="D161" i="2"/>
  <c r="E161" i="2" s="1"/>
  <c r="F161" i="2"/>
  <c r="G161" i="2" s="1"/>
  <c r="H161" i="2"/>
  <c r="I161" i="2"/>
  <c r="J161" i="2"/>
  <c r="A162" i="2"/>
  <c r="B162" i="2"/>
  <c r="C162" i="2" s="1"/>
  <c r="D162" i="2"/>
  <c r="E162" i="2" s="1"/>
  <c r="F162" i="2"/>
  <c r="G162" i="2" s="1"/>
  <c r="H162" i="2"/>
  <c r="I162" i="2"/>
  <c r="K162" i="2" s="1"/>
  <c r="J162" i="2"/>
  <c r="A163" i="2"/>
  <c r="B163" i="2"/>
  <c r="C163" i="2" s="1"/>
  <c r="D163" i="2"/>
  <c r="E163" i="2" s="1"/>
  <c r="F163" i="2"/>
  <c r="G163" i="2" s="1"/>
  <c r="H163" i="2"/>
  <c r="I163" i="2"/>
  <c r="J163" i="2"/>
  <c r="K163" i="2" s="1"/>
  <c r="A164" i="2"/>
  <c r="B164" i="2"/>
  <c r="C164" i="2"/>
  <c r="D164" i="2"/>
  <c r="E164" i="2" s="1"/>
  <c r="F164" i="2"/>
  <c r="G164" i="2" s="1"/>
  <c r="H164" i="2"/>
  <c r="I164" i="2"/>
  <c r="K164" i="2" s="1"/>
  <c r="J164" i="2"/>
  <c r="A165" i="2"/>
  <c r="B165" i="2"/>
  <c r="C165" i="2" s="1"/>
  <c r="D165" i="2"/>
  <c r="E165" i="2" s="1"/>
  <c r="F165" i="2"/>
  <c r="G165" i="2" s="1"/>
  <c r="H165" i="2"/>
  <c r="I165" i="2"/>
  <c r="J165" i="2"/>
  <c r="K165" i="2" s="1"/>
  <c r="A166" i="2"/>
  <c r="B166" i="2"/>
  <c r="C166" i="2"/>
  <c r="D166" i="2"/>
  <c r="E166" i="2" s="1"/>
  <c r="F166" i="2"/>
  <c r="G166" i="2" s="1"/>
  <c r="H166" i="2"/>
  <c r="I166" i="2"/>
  <c r="J166" i="2"/>
  <c r="A167" i="2"/>
  <c r="B167" i="2"/>
  <c r="C167" i="2" s="1"/>
  <c r="D167" i="2"/>
  <c r="E167" i="2" s="1"/>
  <c r="F167" i="2"/>
  <c r="G167" i="2" s="1"/>
  <c r="H167" i="2"/>
  <c r="I167" i="2"/>
  <c r="J167" i="2"/>
  <c r="A168" i="2"/>
  <c r="B168" i="2"/>
  <c r="C168" i="2" s="1"/>
  <c r="D168" i="2"/>
  <c r="E168" i="2"/>
  <c r="F168" i="2"/>
  <c r="G168" i="2"/>
  <c r="H168" i="2"/>
  <c r="I168" i="2"/>
  <c r="J168" i="2"/>
  <c r="A169" i="2"/>
  <c r="B169" i="2"/>
  <c r="C169" i="2" s="1"/>
  <c r="D169" i="2"/>
  <c r="E169" i="2" s="1"/>
  <c r="F169" i="2"/>
  <c r="G169" i="2" s="1"/>
  <c r="H169" i="2"/>
  <c r="I169" i="2"/>
  <c r="J169" i="2"/>
  <c r="K169" i="2" s="1"/>
  <c r="A170" i="2"/>
  <c r="B170" i="2"/>
  <c r="C170" i="2" s="1"/>
  <c r="D170" i="2"/>
  <c r="E170" i="2" s="1"/>
  <c r="F170" i="2"/>
  <c r="G170" i="2" s="1"/>
  <c r="H170" i="2"/>
  <c r="I170" i="2"/>
  <c r="J170" i="2"/>
  <c r="A171" i="2"/>
  <c r="B171" i="2"/>
  <c r="C171" i="2" s="1"/>
  <c r="D171" i="2"/>
  <c r="E171" i="2" s="1"/>
  <c r="F171" i="2"/>
  <c r="G171" i="2" s="1"/>
  <c r="H171" i="2"/>
  <c r="I171" i="2"/>
  <c r="J171" i="2"/>
  <c r="A172" i="2"/>
  <c r="B172" i="2"/>
  <c r="C172" i="2" s="1"/>
  <c r="D172" i="2"/>
  <c r="E172" i="2" s="1"/>
  <c r="F172" i="2"/>
  <c r="G172" i="2" s="1"/>
  <c r="H172" i="2"/>
  <c r="I172" i="2"/>
  <c r="J172" i="2"/>
  <c r="A173" i="2"/>
  <c r="B173" i="2"/>
  <c r="C173" i="2" s="1"/>
  <c r="D173" i="2"/>
  <c r="E173" i="2" s="1"/>
  <c r="F173" i="2"/>
  <c r="G173" i="2" s="1"/>
  <c r="H173" i="2"/>
  <c r="I173" i="2"/>
  <c r="J173" i="2"/>
  <c r="K173" i="2" s="1"/>
  <c r="A174" i="2"/>
  <c r="B174" i="2"/>
  <c r="C174" i="2" s="1"/>
  <c r="D174" i="2"/>
  <c r="E174" i="2" s="1"/>
  <c r="F174" i="2"/>
  <c r="G174" i="2"/>
  <c r="H174" i="2"/>
  <c r="I174" i="2"/>
  <c r="K174" i="2" s="1"/>
  <c r="J174" i="2"/>
  <c r="A175" i="2"/>
  <c r="B175" i="2"/>
  <c r="C175" i="2" s="1"/>
  <c r="D175" i="2"/>
  <c r="E175" i="2" s="1"/>
  <c r="F175" i="2"/>
  <c r="G175" i="2" s="1"/>
  <c r="H175" i="2"/>
  <c r="I175" i="2"/>
  <c r="J175" i="2"/>
  <c r="A176" i="2"/>
  <c r="B176" i="2"/>
  <c r="C176" i="2" s="1"/>
  <c r="D176" i="2"/>
  <c r="E176" i="2" s="1"/>
  <c r="F176" i="2"/>
  <c r="G176" i="2" s="1"/>
  <c r="H176" i="2"/>
  <c r="I176" i="2"/>
  <c r="K176" i="2" s="1"/>
  <c r="J176" i="2"/>
  <c r="A177" i="2"/>
  <c r="B177" i="2"/>
  <c r="C177" i="2" s="1"/>
  <c r="D177" i="2"/>
  <c r="E177" i="2" s="1"/>
  <c r="F177" i="2"/>
  <c r="G177" i="2" s="1"/>
  <c r="H177" i="2"/>
  <c r="I177" i="2"/>
  <c r="J177" i="2"/>
  <c r="K177" i="2" s="1"/>
  <c r="A178" i="2"/>
  <c r="B178" i="2"/>
  <c r="C178" i="2"/>
  <c r="D178" i="2"/>
  <c r="E178" i="2" s="1"/>
  <c r="F178" i="2"/>
  <c r="G178" i="2"/>
  <c r="H178" i="2"/>
  <c r="I178" i="2"/>
  <c r="J178" i="2"/>
  <c r="A179" i="2"/>
  <c r="B179" i="2"/>
  <c r="C179" i="2" s="1"/>
  <c r="D179" i="2"/>
  <c r="E179" i="2" s="1"/>
  <c r="F179" i="2"/>
  <c r="G179" i="2" s="1"/>
  <c r="H179" i="2"/>
  <c r="I179" i="2"/>
  <c r="J179" i="2"/>
  <c r="A180" i="2"/>
  <c r="B180" i="2"/>
  <c r="C180" i="2" s="1"/>
  <c r="D180" i="2"/>
  <c r="E180" i="2" s="1"/>
  <c r="F180" i="2"/>
  <c r="G180" i="2"/>
  <c r="H180" i="2"/>
  <c r="I180" i="2"/>
  <c r="J180" i="2"/>
  <c r="A181" i="2"/>
  <c r="B181" i="2"/>
  <c r="C181" i="2" s="1"/>
  <c r="D181" i="2"/>
  <c r="E181" i="2" s="1"/>
  <c r="F181" i="2"/>
  <c r="G181" i="2" s="1"/>
  <c r="H181" i="2"/>
  <c r="I181" i="2"/>
  <c r="J181" i="2"/>
  <c r="A182" i="2"/>
  <c r="B182" i="2"/>
  <c r="C182" i="2"/>
  <c r="D182" i="2"/>
  <c r="E182" i="2"/>
  <c r="F182" i="2"/>
  <c r="G182" i="2" s="1"/>
  <c r="H182" i="2"/>
  <c r="I182" i="2"/>
  <c r="K182" i="2" s="1"/>
  <c r="J182" i="2"/>
  <c r="A183" i="2"/>
  <c r="B183" i="2"/>
  <c r="C183" i="2" s="1"/>
  <c r="D183" i="2"/>
  <c r="E183" i="2" s="1"/>
  <c r="F183" i="2"/>
  <c r="G183" i="2" s="1"/>
  <c r="H183" i="2"/>
  <c r="I183" i="2"/>
  <c r="J183" i="2"/>
  <c r="A184" i="2"/>
  <c r="B184" i="2"/>
  <c r="C184" i="2"/>
  <c r="D184" i="2"/>
  <c r="E184" i="2" s="1"/>
  <c r="F184" i="2"/>
  <c r="G184" i="2" s="1"/>
  <c r="H184" i="2"/>
  <c r="I184" i="2"/>
  <c r="J184" i="2"/>
  <c r="A185" i="2"/>
  <c r="B185" i="2"/>
  <c r="C185" i="2" s="1"/>
  <c r="D185" i="2"/>
  <c r="E185" i="2" s="1"/>
  <c r="F185" i="2"/>
  <c r="G185" i="2" s="1"/>
  <c r="H185" i="2"/>
  <c r="I185" i="2"/>
  <c r="J185" i="2"/>
  <c r="K185" i="2" s="1"/>
  <c r="A186" i="2"/>
  <c r="B186" i="2"/>
  <c r="C186" i="2" s="1"/>
  <c r="D186" i="2"/>
  <c r="E186" i="2" s="1"/>
  <c r="F186" i="2"/>
  <c r="G186" i="2" s="1"/>
  <c r="H186" i="2"/>
  <c r="I186" i="2"/>
  <c r="J186" i="2"/>
  <c r="A187" i="2"/>
  <c r="B187" i="2"/>
  <c r="C187" i="2" s="1"/>
  <c r="D187" i="2"/>
  <c r="E187" i="2" s="1"/>
  <c r="F187" i="2"/>
  <c r="G187" i="2" s="1"/>
  <c r="H187" i="2"/>
  <c r="I187" i="2"/>
  <c r="J187" i="2"/>
  <c r="A188" i="2"/>
  <c r="B188" i="2"/>
  <c r="C188" i="2" s="1"/>
  <c r="D188" i="2"/>
  <c r="E188" i="2" s="1"/>
  <c r="F188" i="2"/>
  <c r="G188" i="2" s="1"/>
  <c r="H188" i="2"/>
  <c r="I188" i="2"/>
  <c r="J188" i="2"/>
  <c r="A189" i="2"/>
  <c r="B189" i="2"/>
  <c r="C189" i="2" s="1"/>
  <c r="D189" i="2"/>
  <c r="E189" i="2" s="1"/>
  <c r="F189" i="2"/>
  <c r="G189" i="2" s="1"/>
  <c r="H189" i="2"/>
  <c r="I189" i="2"/>
  <c r="J189" i="2"/>
  <c r="A190" i="2"/>
  <c r="B190" i="2"/>
  <c r="C190" i="2" s="1"/>
  <c r="D190" i="2"/>
  <c r="E190" i="2"/>
  <c r="F190" i="2"/>
  <c r="G190" i="2" s="1"/>
  <c r="H190" i="2"/>
  <c r="I190" i="2"/>
  <c r="K190" i="2" s="1"/>
  <c r="J190" i="2"/>
  <c r="A191" i="2"/>
  <c r="B191" i="2"/>
  <c r="C191" i="2" s="1"/>
  <c r="D191" i="2"/>
  <c r="E191" i="2" s="1"/>
  <c r="F191" i="2"/>
  <c r="G191" i="2" s="1"/>
  <c r="H191" i="2"/>
  <c r="I191" i="2"/>
  <c r="J191" i="2"/>
  <c r="A192" i="2"/>
  <c r="B192" i="2"/>
  <c r="C192" i="2" s="1"/>
  <c r="D192" i="2"/>
  <c r="E192" i="2" s="1"/>
  <c r="F192" i="2"/>
  <c r="G192" i="2" s="1"/>
  <c r="H192" i="2"/>
  <c r="I192" i="2"/>
  <c r="K192" i="2" s="1"/>
  <c r="J192" i="2"/>
  <c r="A193" i="2"/>
  <c r="B193" i="2"/>
  <c r="C193" i="2" s="1"/>
  <c r="D193" i="2"/>
  <c r="E193" i="2" s="1"/>
  <c r="F193" i="2"/>
  <c r="G193" i="2" s="1"/>
  <c r="H193" i="2"/>
  <c r="I193" i="2"/>
  <c r="J193" i="2"/>
  <c r="A194" i="2"/>
  <c r="B194" i="2"/>
  <c r="C194" i="2" s="1"/>
  <c r="D194" i="2"/>
  <c r="E194" i="2" s="1"/>
  <c r="F194" i="2"/>
  <c r="G194" i="2" s="1"/>
  <c r="H194" i="2"/>
  <c r="I194" i="2"/>
  <c r="J194" i="2"/>
  <c r="A195" i="2"/>
  <c r="B195" i="2"/>
  <c r="C195" i="2" s="1"/>
  <c r="D195" i="2"/>
  <c r="E195" i="2" s="1"/>
  <c r="F195" i="2"/>
  <c r="G195" i="2" s="1"/>
  <c r="H195" i="2"/>
  <c r="I195" i="2"/>
  <c r="J195" i="2"/>
  <c r="A196" i="2"/>
  <c r="B196" i="2"/>
  <c r="C196" i="2"/>
  <c r="D196" i="2"/>
  <c r="E196" i="2" s="1"/>
  <c r="F196" i="2"/>
  <c r="G196" i="2" s="1"/>
  <c r="H196" i="2"/>
  <c r="I196" i="2"/>
  <c r="J196" i="2"/>
  <c r="A197" i="2"/>
  <c r="B197" i="2"/>
  <c r="C197" i="2" s="1"/>
  <c r="D197" i="2"/>
  <c r="E197" i="2" s="1"/>
  <c r="F197" i="2"/>
  <c r="G197" i="2" s="1"/>
  <c r="H197" i="2"/>
  <c r="I197" i="2"/>
  <c r="J197" i="2"/>
  <c r="A198" i="2"/>
  <c r="B198" i="2"/>
  <c r="C198" i="2"/>
  <c r="D198" i="2"/>
  <c r="E198" i="2" s="1"/>
  <c r="F198" i="2"/>
  <c r="G198" i="2" s="1"/>
  <c r="H198" i="2"/>
  <c r="I198" i="2"/>
  <c r="J198" i="2"/>
  <c r="A199" i="2"/>
  <c r="B199" i="2"/>
  <c r="C199" i="2" s="1"/>
  <c r="D199" i="2"/>
  <c r="E199" i="2" s="1"/>
  <c r="F199" i="2"/>
  <c r="G199" i="2" s="1"/>
  <c r="H199" i="2"/>
  <c r="I199" i="2"/>
  <c r="J199" i="2"/>
  <c r="A200" i="2"/>
  <c r="B200" i="2"/>
  <c r="C200" i="2" s="1"/>
  <c r="D200" i="2"/>
  <c r="E200" i="2" s="1"/>
  <c r="F200" i="2"/>
  <c r="G200" i="2"/>
  <c r="H200" i="2"/>
  <c r="I200" i="2"/>
  <c r="J200" i="2"/>
  <c r="A201" i="2"/>
  <c r="B201" i="2"/>
  <c r="C201" i="2" s="1"/>
  <c r="D201" i="2"/>
  <c r="E201" i="2" s="1"/>
  <c r="F201" i="2"/>
  <c r="G201" i="2" s="1"/>
  <c r="H201" i="2"/>
  <c r="I201" i="2"/>
  <c r="J201" i="2"/>
  <c r="A202" i="2"/>
  <c r="B202" i="2"/>
  <c r="C202" i="2" s="1"/>
  <c r="D202" i="2"/>
  <c r="E202" i="2" s="1"/>
  <c r="F202" i="2"/>
  <c r="G202" i="2" s="1"/>
  <c r="H202" i="2"/>
  <c r="I202" i="2"/>
  <c r="J202" i="2"/>
  <c r="A203" i="2"/>
  <c r="B203" i="2"/>
  <c r="C203" i="2" s="1"/>
  <c r="D203" i="2"/>
  <c r="E203" i="2" s="1"/>
  <c r="F203" i="2"/>
  <c r="G203" i="2" s="1"/>
  <c r="H203" i="2"/>
  <c r="I203" i="2"/>
  <c r="J203" i="2"/>
  <c r="A204" i="2"/>
  <c r="B204" i="2"/>
  <c r="C204" i="2" s="1"/>
  <c r="D204" i="2"/>
  <c r="E204" i="2" s="1"/>
  <c r="F204" i="2"/>
  <c r="G204" i="2" s="1"/>
  <c r="H204" i="2"/>
  <c r="I204" i="2"/>
  <c r="K204" i="2" s="1"/>
  <c r="J204" i="2"/>
  <c r="A205" i="2"/>
  <c r="B205" i="2"/>
  <c r="C205" i="2" s="1"/>
  <c r="D205" i="2"/>
  <c r="E205" i="2" s="1"/>
  <c r="F205" i="2"/>
  <c r="G205" i="2" s="1"/>
  <c r="H205" i="2"/>
  <c r="I205" i="2"/>
  <c r="J205" i="2"/>
  <c r="A206" i="2"/>
  <c r="B206" i="2"/>
  <c r="C206" i="2" s="1"/>
  <c r="D206" i="2"/>
  <c r="E206" i="2" s="1"/>
  <c r="F206" i="2"/>
  <c r="G206" i="2" s="1"/>
  <c r="H206" i="2"/>
  <c r="I206" i="2"/>
  <c r="J206" i="2"/>
  <c r="A207" i="2"/>
  <c r="B207" i="2"/>
  <c r="C207" i="2" s="1"/>
  <c r="D207" i="2"/>
  <c r="E207" i="2" s="1"/>
  <c r="F207" i="2"/>
  <c r="G207" i="2" s="1"/>
  <c r="H207" i="2"/>
  <c r="I207" i="2"/>
  <c r="J207" i="2"/>
  <c r="A208" i="2"/>
  <c r="B208" i="2"/>
  <c r="C208" i="2"/>
  <c r="D208" i="2"/>
  <c r="E208" i="2" s="1"/>
  <c r="F208" i="2"/>
  <c r="G208" i="2" s="1"/>
  <c r="H208" i="2"/>
  <c r="I208" i="2"/>
  <c r="J208" i="2"/>
  <c r="A209" i="2"/>
  <c r="B209" i="2"/>
  <c r="C209" i="2" s="1"/>
  <c r="D209" i="2"/>
  <c r="E209" i="2" s="1"/>
  <c r="F209" i="2"/>
  <c r="G209" i="2" s="1"/>
  <c r="H209" i="2"/>
  <c r="I209" i="2"/>
  <c r="J209" i="2"/>
  <c r="K209" i="2" s="1"/>
  <c r="A210" i="2"/>
  <c r="B210" i="2"/>
  <c r="C210" i="2" s="1"/>
  <c r="D210" i="2"/>
  <c r="E210" i="2" s="1"/>
  <c r="F210" i="2"/>
  <c r="G210" i="2" s="1"/>
  <c r="H210" i="2"/>
  <c r="I210" i="2"/>
  <c r="J210" i="2"/>
  <c r="A211" i="2"/>
  <c r="B211" i="2"/>
  <c r="C211" i="2" s="1"/>
  <c r="D211" i="2"/>
  <c r="E211" i="2" s="1"/>
  <c r="F211" i="2"/>
  <c r="G211" i="2" s="1"/>
  <c r="H211" i="2"/>
  <c r="I211" i="2"/>
  <c r="J211" i="2"/>
  <c r="A212" i="2"/>
  <c r="B212" i="2"/>
  <c r="C212" i="2" s="1"/>
  <c r="D212" i="2"/>
  <c r="E212" i="2" s="1"/>
  <c r="F212" i="2"/>
  <c r="G212" i="2" s="1"/>
  <c r="H212" i="2"/>
  <c r="I212" i="2"/>
  <c r="J212" i="2"/>
  <c r="A213" i="2"/>
  <c r="B213" i="2"/>
  <c r="C213" i="2" s="1"/>
  <c r="D213" i="2"/>
  <c r="E213" i="2" s="1"/>
  <c r="F213" i="2"/>
  <c r="G213" i="2" s="1"/>
  <c r="H213" i="2"/>
  <c r="I213" i="2"/>
  <c r="J213" i="2"/>
  <c r="A214" i="2"/>
  <c r="B214" i="2"/>
  <c r="C214" i="2" s="1"/>
  <c r="D214" i="2"/>
  <c r="E214" i="2"/>
  <c r="F214" i="2"/>
  <c r="G214" i="2" s="1"/>
  <c r="H214" i="2"/>
  <c r="I214" i="2"/>
  <c r="K214" i="2" s="1"/>
  <c r="J214" i="2"/>
  <c r="A215" i="2"/>
  <c r="B215" i="2"/>
  <c r="C215" i="2" s="1"/>
  <c r="D215" i="2"/>
  <c r="E215" i="2" s="1"/>
  <c r="F215" i="2"/>
  <c r="G215" i="2" s="1"/>
  <c r="H215" i="2"/>
  <c r="I215" i="2"/>
  <c r="J215" i="2"/>
  <c r="A216" i="2"/>
  <c r="B216" i="2"/>
  <c r="C216" i="2" s="1"/>
  <c r="D216" i="2"/>
  <c r="E216" i="2" s="1"/>
  <c r="F216" i="2"/>
  <c r="G216" i="2" s="1"/>
  <c r="H216" i="2"/>
  <c r="I216" i="2"/>
  <c r="K216" i="2" s="1"/>
  <c r="J216" i="2"/>
  <c r="A217" i="2"/>
  <c r="B217" i="2"/>
  <c r="C217" i="2" s="1"/>
  <c r="D217" i="2"/>
  <c r="E217" i="2" s="1"/>
  <c r="F217" i="2"/>
  <c r="G217" i="2" s="1"/>
  <c r="H217" i="2"/>
  <c r="I217" i="2"/>
  <c r="J217" i="2"/>
  <c r="A218" i="2"/>
  <c r="B218" i="2"/>
  <c r="C218" i="2" s="1"/>
  <c r="D218" i="2"/>
  <c r="E218" i="2" s="1"/>
  <c r="F218" i="2"/>
  <c r="G218" i="2" s="1"/>
  <c r="H218" i="2"/>
  <c r="I218" i="2"/>
  <c r="J218" i="2"/>
  <c r="A219" i="2"/>
  <c r="B219" i="2"/>
  <c r="C219" i="2" s="1"/>
  <c r="D219" i="2"/>
  <c r="E219" i="2" s="1"/>
  <c r="F219" i="2"/>
  <c r="G219" i="2" s="1"/>
  <c r="H219" i="2"/>
  <c r="I219" i="2"/>
  <c r="J219" i="2"/>
  <c r="A220" i="2"/>
  <c r="B220" i="2"/>
  <c r="C220" i="2" s="1"/>
  <c r="D220" i="2"/>
  <c r="E220" i="2" s="1"/>
  <c r="F220" i="2"/>
  <c r="G220" i="2" s="1"/>
  <c r="H220" i="2"/>
  <c r="I220" i="2"/>
  <c r="K220" i="2" s="1"/>
  <c r="J220" i="2"/>
  <c r="A221" i="2"/>
  <c r="B221" i="2"/>
  <c r="C221" i="2" s="1"/>
  <c r="D221" i="2"/>
  <c r="E221" i="2" s="1"/>
  <c r="F221" i="2"/>
  <c r="G221" i="2" s="1"/>
  <c r="H221" i="2"/>
  <c r="I221" i="2"/>
  <c r="J221" i="2"/>
  <c r="A222" i="2"/>
  <c r="B222" i="2"/>
  <c r="C222" i="2"/>
  <c r="D222" i="2"/>
  <c r="E222" i="2" s="1"/>
  <c r="F222" i="2"/>
  <c r="G222" i="2" s="1"/>
  <c r="H222" i="2"/>
  <c r="I222" i="2"/>
  <c r="J222" i="2"/>
  <c r="A223" i="2"/>
  <c r="B223" i="2"/>
  <c r="C223" i="2" s="1"/>
  <c r="D223" i="2"/>
  <c r="E223" i="2" s="1"/>
  <c r="F223" i="2"/>
  <c r="G223" i="2" s="1"/>
  <c r="H223" i="2"/>
  <c r="I223" i="2"/>
  <c r="J223" i="2"/>
  <c r="A224" i="2"/>
  <c r="B224" i="2"/>
  <c r="C224" i="2"/>
  <c r="D224" i="2"/>
  <c r="E224" i="2" s="1"/>
  <c r="F224" i="2"/>
  <c r="G224" i="2"/>
  <c r="H224" i="2"/>
  <c r="I224" i="2"/>
  <c r="J224" i="2"/>
  <c r="A225" i="2"/>
  <c r="B225" i="2"/>
  <c r="C225" i="2" s="1"/>
  <c r="D225" i="2"/>
  <c r="E225" i="2" s="1"/>
  <c r="F225" i="2"/>
  <c r="G225" i="2" s="1"/>
  <c r="H225" i="2"/>
  <c r="I225" i="2"/>
  <c r="K225" i="2" s="1"/>
  <c r="J225" i="2"/>
  <c r="A226" i="2"/>
  <c r="B226" i="2"/>
  <c r="C226" i="2" s="1"/>
  <c r="D226" i="2"/>
  <c r="E226" i="2" s="1"/>
  <c r="F226" i="2"/>
  <c r="G226" i="2" s="1"/>
  <c r="H226" i="2"/>
  <c r="I226" i="2"/>
  <c r="J226" i="2"/>
  <c r="A227" i="2"/>
  <c r="B227" i="2"/>
  <c r="C227" i="2"/>
  <c r="D227" i="2"/>
  <c r="E227" i="2" s="1"/>
  <c r="F227" i="2"/>
  <c r="G227" i="2" s="1"/>
  <c r="H227" i="2"/>
  <c r="I227" i="2"/>
  <c r="J227" i="2"/>
  <c r="A228" i="2"/>
  <c r="B228" i="2"/>
  <c r="C228" i="2" s="1"/>
  <c r="D228" i="2"/>
  <c r="E228" i="2" s="1"/>
  <c r="F228" i="2"/>
  <c r="G228" i="2"/>
  <c r="H228" i="2"/>
  <c r="I228" i="2"/>
  <c r="J228" i="2"/>
  <c r="A229" i="2"/>
  <c r="B229" i="2"/>
  <c r="C229" i="2"/>
  <c r="D229" i="2"/>
  <c r="E229" i="2"/>
  <c r="F229" i="2"/>
  <c r="G229" i="2" s="1"/>
  <c r="H229" i="2"/>
  <c r="I229" i="2"/>
  <c r="K229" i="2" s="1"/>
  <c r="J229" i="2"/>
  <c r="A230" i="2"/>
  <c r="B230" i="2"/>
  <c r="C230" i="2" s="1"/>
  <c r="D230" i="2"/>
  <c r="E230" i="2" s="1"/>
  <c r="F230" i="2"/>
  <c r="G230" i="2" s="1"/>
  <c r="H230" i="2"/>
  <c r="I230" i="2"/>
  <c r="J230" i="2"/>
  <c r="A231" i="2"/>
  <c r="B231" i="2"/>
  <c r="C231" i="2" s="1"/>
  <c r="D231" i="2"/>
  <c r="E231" i="2" s="1"/>
  <c r="F231" i="2"/>
  <c r="G231" i="2" s="1"/>
  <c r="H231" i="2"/>
  <c r="I231" i="2"/>
  <c r="J231" i="2"/>
  <c r="K231" i="2"/>
  <c r="A232" i="2"/>
  <c r="B232" i="2"/>
  <c r="C232" i="2"/>
  <c r="D232" i="2"/>
  <c r="E232" i="2"/>
  <c r="F232" i="2"/>
  <c r="G232" i="2" s="1"/>
  <c r="H232" i="2"/>
  <c r="I232" i="2"/>
  <c r="J232" i="2"/>
  <c r="A233" i="2"/>
  <c r="B233" i="2"/>
  <c r="C233" i="2" s="1"/>
  <c r="D233" i="2"/>
  <c r="E233" i="2" s="1"/>
  <c r="F233" i="2"/>
  <c r="G233" i="2" s="1"/>
  <c r="H233" i="2"/>
  <c r="I233" i="2"/>
  <c r="J233" i="2"/>
  <c r="A234" i="2"/>
  <c r="B234" i="2"/>
  <c r="C234" i="2" s="1"/>
  <c r="D234" i="2"/>
  <c r="E234" i="2"/>
  <c r="F234" i="2"/>
  <c r="G234" i="2" s="1"/>
  <c r="H234" i="2"/>
  <c r="I234" i="2"/>
  <c r="K234" i="2" s="1"/>
  <c r="J234" i="2"/>
  <c r="A235" i="2"/>
  <c r="B235" i="2"/>
  <c r="C235" i="2" s="1"/>
  <c r="D235" i="2"/>
  <c r="E235" i="2"/>
  <c r="F235" i="2"/>
  <c r="G235" i="2" s="1"/>
  <c r="H235" i="2"/>
  <c r="I235" i="2"/>
  <c r="J235" i="2"/>
  <c r="A236" i="2"/>
  <c r="B236" i="2"/>
  <c r="C236" i="2" s="1"/>
  <c r="D236" i="2"/>
  <c r="E236" i="2" s="1"/>
  <c r="F236" i="2"/>
  <c r="G236" i="2" s="1"/>
  <c r="H236" i="2"/>
  <c r="I236" i="2"/>
  <c r="J236" i="2"/>
  <c r="A237" i="2"/>
  <c r="B237" i="2"/>
  <c r="C237" i="2" s="1"/>
  <c r="D237" i="2"/>
  <c r="E237" i="2" s="1"/>
  <c r="F237" i="2"/>
  <c r="G237" i="2" s="1"/>
  <c r="H237" i="2"/>
  <c r="I237" i="2"/>
  <c r="J237" i="2"/>
  <c r="A238" i="2"/>
  <c r="B238" i="2"/>
  <c r="C238" i="2" s="1"/>
  <c r="D238" i="2"/>
  <c r="E238" i="2"/>
  <c r="F238" i="2"/>
  <c r="G238" i="2" s="1"/>
  <c r="H238" i="2"/>
  <c r="I238" i="2"/>
  <c r="K238" i="2" s="1"/>
  <c r="J238" i="2"/>
  <c r="A239" i="2"/>
  <c r="B239" i="2"/>
  <c r="C239" i="2" s="1"/>
  <c r="D239" i="2"/>
  <c r="E239" i="2" s="1"/>
  <c r="F239" i="2"/>
  <c r="G239" i="2" s="1"/>
  <c r="H239" i="2"/>
  <c r="I239" i="2"/>
  <c r="J239" i="2"/>
  <c r="A240" i="2"/>
  <c r="B240" i="2"/>
  <c r="C240" i="2" s="1"/>
  <c r="D240" i="2"/>
  <c r="E240" i="2" s="1"/>
  <c r="F240" i="2"/>
  <c r="G240" i="2" s="1"/>
  <c r="H240" i="2"/>
  <c r="I240" i="2"/>
  <c r="J240" i="2"/>
  <c r="A241" i="2"/>
  <c r="B241" i="2"/>
  <c r="C241" i="2" s="1"/>
  <c r="D241" i="2"/>
  <c r="E241" i="2" s="1"/>
  <c r="F241" i="2"/>
  <c r="G241" i="2" s="1"/>
  <c r="H241" i="2"/>
  <c r="I241" i="2"/>
  <c r="J241" i="2"/>
  <c r="A242" i="2"/>
  <c r="B242" i="2"/>
  <c r="C242" i="2" s="1"/>
  <c r="D242" i="2"/>
  <c r="E242" i="2" s="1"/>
  <c r="F242" i="2"/>
  <c r="G242" i="2" s="1"/>
  <c r="H242" i="2"/>
  <c r="I242" i="2"/>
  <c r="J242" i="2"/>
  <c r="A243" i="2"/>
  <c r="B243" i="2"/>
  <c r="C243" i="2" s="1"/>
  <c r="D243" i="2"/>
  <c r="E243" i="2" s="1"/>
  <c r="F243" i="2"/>
  <c r="G243" i="2"/>
  <c r="H243" i="2"/>
  <c r="I243" i="2"/>
  <c r="J243" i="2"/>
  <c r="A244" i="2"/>
  <c r="B244" i="2"/>
  <c r="C244" i="2" s="1"/>
  <c r="D244" i="2"/>
  <c r="E244" i="2" s="1"/>
  <c r="F244" i="2"/>
  <c r="G244" i="2" s="1"/>
  <c r="H244" i="2"/>
  <c r="I244" i="2"/>
  <c r="J244" i="2"/>
  <c r="A245" i="2"/>
  <c r="B245" i="2"/>
  <c r="C245" i="2"/>
  <c r="D245" i="2"/>
  <c r="E245" i="2" s="1"/>
  <c r="F245" i="2"/>
  <c r="G245" i="2"/>
  <c r="H245" i="2"/>
  <c r="I245" i="2"/>
  <c r="J245" i="2"/>
  <c r="A246" i="2"/>
  <c r="B246" i="2"/>
  <c r="C246" i="2" s="1"/>
  <c r="D246" i="2"/>
  <c r="E246" i="2" s="1"/>
  <c r="F246" i="2"/>
  <c r="G246" i="2" s="1"/>
  <c r="H246" i="2"/>
  <c r="I246" i="2"/>
  <c r="J246" i="2"/>
  <c r="A247" i="2"/>
  <c r="B247" i="2"/>
  <c r="C247" i="2" s="1"/>
  <c r="D247" i="2"/>
  <c r="E247" i="2" s="1"/>
  <c r="F247" i="2"/>
  <c r="G247" i="2" s="1"/>
  <c r="H247" i="2"/>
  <c r="I247" i="2"/>
  <c r="K247" i="2" s="1"/>
  <c r="J247" i="2"/>
  <c r="A248" i="2"/>
  <c r="B248" i="2"/>
  <c r="C248" i="2"/>
  <c r="D248" i="2"/>
  <c r="E248" i="2" s="1"/>
  <c r="F248" i="2"/>
  <c r="G248" i="2"/>
  <c r="H248" i="2"/>
  <c r="I248" i="2"/>
  <c r="J248" i="2"/>
  <c r="A249" i="2"/>
  <c r="B249" i="2"/>
  <c r="C249" i="2" s="1"/>
  <c r="D249" i="2"/>
  <c r="E249" i="2" s="1"/>
  <c r="F249" i="2"/>
  <c r="G249" i="2" s="1"/>
  <c r="H249" i="2"/>
  <c r="I249" i="2"/>
  <c r="J249" i="2"/>
  <c r="A250" i="2"/>
  <c r="B250" i="2"/>
  <c r="C250" i="2" s="1"/>
  <c r="D250" i="2"/>
  <c r="E250" i="2" s="1"/>
  <c r="F250" i="2"/>
  <c r="G250" i="2" s="1"/>
  <c r="H250" i="2"/>
  <c r="I250" i="2"/>
  <c r="J250" i="2"/>
  <c r="A251" i="2"/>
  <c r="B251" i="2"/>
  <c r="C251" i="2" s="1"/>
  <c r="D251" i="2"/>
  <c r="E251" i="2" s="1"/>
  <c r="F251" i="2"/>
  <c r="G251" i="2" s="1"/>
  <c r="H251" i="2"/>
  <c r="I251" i="2"/>
  <c r="J251" i="2"/>
  <c r="A252" i="2"/>
  <c r="B252" i="2"/>
  <c r="C252" i="2" s="1"/>
  <c r="D252" i="2"/>
  <c r="E252" i="2" s="1"/>
  <c r="F252" i="2"/>
  <c r="G252" i="2" s="1"/>
  <c r="H252" i="2"/>
  <c r="I252" i="2"/>
  <c r="J252" i="2"/>
  <c r="A253" i="2"/>
  <c r="B253" i="2"/>
  <c r="C253" i="2" s="1"/>
  <c r="D253" i="2"/>
  <c r="E253" i="2"/>
  <c r="F253" i="2"/>
  <c r="G253" i="2" s="1"/>
  <c r="H253" i="2"/>
  <c r="I253" i="2"/>
  <c r="K253" i="2" s="1"/>
  <c r="J253" i="2"/>
  <c r="A254" i="2"/>
  <c r="B254" i="2"/>
  <c r="C254" i="2" s="1"/>
  <c r="D254" i="2"/>
  <c r="E254" i="2" s="1"/>
  <c r="F254" i="2"/>
  <c r="G254" i="2" s="1"/>
  <c r="H254" i="2"/>
  <c r="I254" i="2"/>
  <c r="J254" i="2"/>
  <c r="A255" i="2"/>
  <c r="B255" i="2"/>
  <c r="C255" i="2" s="1"/>
  <c r="D255" i="2"/>
  <c r="E255" i="2"/>
  <c r="F255" i="2"/>
  <c r="G255" i="2" s="1"/>
  <c r="H255" i="2"/>
  <c r="I255" i="2"/>
  <c r="K255" i="2" s="1"/>
  <c r="J255" i="2"/>
  <c r="A256" i="2"/>
  <c r="B256" i="2"/>
  <c r="C256" i="2" s="1"/>
  <c r="D256" i="2"/>
  <c r="E256" i="2"/>
  <c r="F256" i="2"/>
  <c r="G256" i="2" s="1"/>
  <c r="H256" i="2"/>
  <c r="I256" i="2"/>
  <c r="K256" i="2" s="1"/>
  <c r="J256" i="2"/>
  <c r="A257" i="2"/>
  <c r="B257" i="2"/>
  <c r="C257" i="2" s="1"/>
  <c r="D257" i="2"/>
  <c r="E257" i="2" s="1"/>
  <c r="F257" i="2"/>
  <c r="G257" i="2" s="1"/>
  <c r="H257" i="2"/>
  <c r="I257" i="2"/>
  <c r="J257" i="2"/>
  <c r="A258" i="2"/>
  <c r="B258" i="2"/>
  <c r="C258" i="2" s="1"/>
  <c r="D258" i="2"/>
  <c r="E258" i="2" s="1"/>
  <c r="F258" i="2"/>
  <c r="G258" i="2" s="1"/>
  <c r="H258" i="2"/>
  <c r="I258" i="2"/>
  <c r="K258" i="2" s="1"/>
  <c r="J258" i="2"/>
  <c r="A259" i="2"/>
  <c r="B259" i="2"/>
  <c r="C259" i="2" s="1"/>
  <c r="D259" i="2"/>
  <c r="E259" i="2" s="1"/>
  <c r="F259" i="2"/>
  <c r="G259" i="2"/>
  <c r="H259" i="2"/>
  <c r="I259" i="2"/>
  <c r="J259" i="2"/>
  <c r="A260" i="2"/>
  <c r="B260" i="2"/>
  <c r="C260" i="2" s="1"/>
  <c r="D260" i="2"/>
  <c r="E260" i="2" s="1"/>
  <c r="F260" i="2"/>
  <c r="G260" i="2" s="1"/>
  <c r="H260" i="2"/>
  <c r="I260" i="2"/>
  <c r="K260" i="2" s="1"/>
  <c r="J260" i="2"/>
  <c r="A261" i="2"/>
  <c r="B261" i="2"/>
  <c r="C261" i="2" s="1"/>
  <c r="D261" i="2"/>
  <c r="E261" i="2" s="1"/>
  <c r="F261" i="2"/>
  <c r="G261" i="2" s="1"/>
  <c r="H261" i="2"/>
  <c r="I261" i="2"/>
  <c r="J261" i="2"/>
  <c r="A262" i="2"/>
  <c r="B262" i="2"/>
  <c r="C262" i="2" s="1"/>
  <c r="D262" i="2"/>
  <c r="E262" i="2" s="1"/>
  <c r="F262" i="2"/>
  <c r="G262" i="2" s="1"/>
  <c r="H262" i="2"/>
  <c r="I262" i="2"/>
  <c r="K262" i="2" s="1"/>
  <c r="J262" i="2"/>
  <c r="A263" i="2"/>
  <c r="B263" i="2"/>
  <c r="C263" i="2" s="1"/>
  <c r="D263" i="2"/>
  <c r="E263" i="2" s="1"/>
  <c r="F263" i="2"/>
  <c r="G263" i="2" s="1"/>
  <c r="H263" i="2"/>
  <c r="I263" i="2"/>
  <c r="J263" i="2"/>
  <c r="A264" i="2"/>
  <c r="B264" i="2"/>
  <c r="C264" i="2" s="1"/>
  <c r="D264" i="2"/>
  <c r="E264" i="2" s="1"/>
  <c r="F264" i="2"/>
  <c r="G264" i="2"/>
  <c r="H264" i="2"/>
  <c r="I264" i="2"/>
  <c r="J264" i="2"/>
  <c r="K264" i="2" s="1"/>
  <c r="A265" i="2"/>
  <c r="B265" i="2"/>
  <c r="C265" i="2"/>
  <c r="D265" i="2"/>
  <c r="E265" i="2" s="1"/>
  <c r="F265" i="2"/>
  <c r="G265" i="2" s="1"/>
  <c r="H265" i="2"/>
  <c r="I265" i="2"/>
  <c r="J265" i="2"/>
  <c r="A266" i="2"/>
  <c r="B266" i="2"/>
  <c r="C266" i="2"/>
  <c r="D266" i="2"/>
  <c r="E266" i="2" s="1"/>
  <c r="F266" i="2"/>
  <c r="G266" i="2" s="1"/>
  <c r="H266" i="2"/>
  <c r="I266" i="2"/>
  <c r="J266" i="2"/>
  <c r="A267" i="2"/>
  <c r="B267" i="2"/>
  <c r="C267" i="2" s="1"/>
  <c r="D267" i="2"/>
  <c r="E267" i="2" s="1"/>
  <c r="F267" i="2"/>
  <c r="G267" i="2" s="1"/>
  <c r="H267" i="2"/>
  <c r="I267" i="2"/>
  <c r="J267" i="2"/>
  <c r="A268" i="2"/>
  <c r="B268" i="2"/>
  <c r="C268" i="2" s="1"/>
  <c r="D268" i="2"/>
  <c r="E268" i="2" s="1"/>
  <c r="F268" i="2"/>
  <c r="G268" i="2" s="1"/>
  <c r="H268" i="2"/>
  <c r="I268" i="2"/>
  <c r="J268" i="2"/>
  <c r="A269" i="2"/>
  <c r="B269" i="2"/>
  <c r="C269" i="2" s="1"/>
  <c r="D269" i="2"/>
  <c r="E269" i="2" s="1"/>
  <c r="F269" i="2"/>
  <c r="G269" i="2" s="1"/>
  <c r="H269" i="2"/>
  <c r="I269" i="2"/>
  <c r="J269" i="2"/>
  <c r="A270" i="2"/>
  <c r="B270" i="2"/>
  <c r="C270" i="2" s="1"/>
  <c r="D270" i="2"/>
  <c r="E270" i="2"/>
  <c r="F270" i="2"/>
  <c r="G270" i="2"/>
  <c r="H270" i="2"/>
  <c r="I270" i="2"/>
  <c r="J270" i="2"/>
  <c r="K270" i="2"/>
  <c r="A271" i="2"/>
  <c r="B271" i="2"/>
  <c r="C271" i="2"/>
  <c r="D271" i="2"/>
  <c r="E271" i="2"/>
  <c r="F271" i="2"/>
  <c r="G271" i="2" s="1"/>
  <c r="H271" i="2"/>
  <c r="I271" i="2"/>
  <c r="J271" i="2"/>
  <c r="A272" i="2"/>
  <c r="B272" i="2"/>
  <c r="C272" i="2" s="1"/>
  <c r="D272" i="2"/>
  <c r="E272" i="2" s="1"/>
  <c r="F272" i="2"/>
  <c r="G272" i="2" s="1"/>
  <c r="H272" i="2"/>
  <c r="I272" i="2"/>
  <c r="K272" i="2" s="1"/>
  <c r="J272" i="2"/>
  <c r="A273" i="2"/>
  <c r="B273" i="2"/>
  <c r="C273" i="2" s="1"/>
  <c r="D273" i="2"/>
  <c r="E273" i="2" s="1"/>
  <c r="F273" i="2"/>
  <c r="G273" i="2"/>
  <c r="H273" i="2"/>
  <c r="I273" i="2"/>
  <c r="J273" i="2"/>
  <c r="A274" i="2"/>
  <c r="B274" i="2"/>
  <c r="C274" i="2" s="1"/>
  <c r="D274" i="2"/>
  <c r="E274" i="2" s="1"/>
  <c r="F274" i="2"/>
  <c r="G274" i="2" s="1"/>
  <c r="H274" i="2"/>
  <c r="I274" i="2"/>
  <c r="J274" i="2"/>
  <c r="A275" i="2"/>
  <c r="B275" i="2"/>
  <c r="C275" i="2"/>
  <c r="D275" i="2"/>
  <c r="E275" i="2" s="1"/>
  <c r="F275" i="2"/>
  <c r="G275" i="2"/>
  <c r="H275" i="2"/>
  <c r="I275" i="2"/>
  <c r="J275" i="2"/>
  <c r="A276" i="2"/>
  <c r="B276" i="2"/>
  <c r="C276" i="2" s="1"/>
  <c r="D276" i="2"/>
  <c r="E276" i="2" s="1"/>
  <c r="F276" i="2"/>
  <c r="G276" i="2" s="1"/>
  <c r="H276" i="2"/>
  <c r="I276" i="2"/>
  <c r="J276" i="2"/>
  <c r="A277" i="2"/>
  <c r="B277" i="2"/>
  <c r="C277" i="2" s="1"/>
  <c r="D277" i="2"/>
  <c r="E277" i="2" s="1"/>
  <c r="F277" i="2"/>
  <c r="G277" i="2" s="1"/>
  <c r="H277" i="2"/>
  <c r="I277" i="2"/>
  <c r="J277" i="2"/>
  <c r="A278" i="2"/>
  <c r="B278" i="2"/>
  <c r="C278" i="2" s="1"/>
  <c r="D278" i="2"/>
  <c r="E278" i="2" s="1"/>
  <c r="F278" i="2"/>
  <c r="G278" i="2" s="1"/>
  <c r="H278" i="2"/>
  <c r="I278" i="2"/>
  <c r="J278" i="2"/>
  <c r="A279" i="2"/>
  <c r="B279" i="2"/>
  <c r="C279" i="2" s="1"/>
  <c r="D279" i="2"/>
  <c r="E279" i="2" s="1"/>
  <c r="F279" i="2"/>
  <c r="G279" i="2" s="1"/>
  <c r="H279" i="2"/>
  <c r="I279" i="2"/>
  <c r="J279" i="2"/>
  <c r="A280" i="2"/>
  <c r="B280" i="2"/>
  <c r="C280" i="2" s="1"/>
  <c r="D280" i="2"/>
  <c r="E280" i="2"/>
  <c r="F280" i="2"/>
  <c r="G280" i="2" s="1"/>
  <c r="H280" i="2"/>
  <c r="I280" i="2"/>
  <c r="K280" i="2" s="1"/>
  <c r="J280" i="2"/>
  <c r="A281" i="2"/>
  <c r="B281" i="2"/>
  <c r="C281" i="2" s="1"/>
  <c r="D281" i="2"/>
  <c r="E281" i="2" s="1"/>
  <c r="F281" i="2"/>
  <c r="G281" i="2" s="1"/>
  <c r="H281" i="2"/>
  <c r="I281" i="2"/>
  <c r="J281" i="2"/>
  <c r="A282" i="2"/>
  <c r="B282" i="2"/>
  <c r="C282" i="2" s="1"/>
  <c r="D282" i="2"/>
  <c r="E282" i="2" s="1"/>
  <c r="F282" i="2"/>
  <c r="G282" i="2" s="1"/>
  <c r="H282" i="2"/>
  <c r="I282" i="2"/>
  <c r="J282" i="2"/>
  <c r="K282" i="2" s="1"/>
  <c r="A283" i="2"/>
  <c r="B283" i="2"/>
  <c r="C283" i="2"/>
  <c r="D283" i="2"/>
  <c r="E283" i="2" s="1"/>
  <c r="F283" i="2"/>
  <c r="G283" i="2" s="1"/>
  <c r="H283" i="2"/>
  <c r="I283" i="2"/>
  <c r="J283" i="2"/>
  <c r="K283" i="2"/>
  <c r="A284" i="2"/>
  <c r="B284" i="2"/>
  <c r="C284" i="2" s="1"/>
  <c r="D284" i="2"/>
  <c r="E284" i="2" s="1"/>
  <c r="F284" i="2"/>
  <c r="G284" i="2" s="1"/>
  <c r="H284" i="2"/>
  <c r="I284" i="2"/>
  <c r="K284" i="2" s="1"/>
  <c r="J284" i="2"/>
  <c r="A285" i="2"/>
  <c r="B285" i="2"/>
  <c r="C285" i="2" s="1"/>
  <c r="D285" i="2"/>
  <c r="E285" i="2" s="1"/>
  <c r="F285" i="2"/>
  <c r="G285" i="2" s="1"/>
  <c r="H285" i="2"/>
  <c r="I285" i="2"/>
  <c r="J285" i="2"/>
  <c r="A286" i="2"/>
  <c r="B286" i="2"/>
  <c r="C286" i="2" s="1"/>
  <c r="D286" i="2"/>
  <c r="E286" i="2" s="1"/>
  <c r="F286" i="2"/>
  <c r="G286" i="2" s="1"/>
  <c r="H286" i="2"/>
  <c r="I286" i="2"/>
  <c r="J286" i="2"/>
  <c r="K286" i="2" s="1"/>
  <c r="A287" i="2"/>
  <c r="B287" i="2"/>
  <c r="C287" i="2" s="1"/>
  <c r="D287" i="2"/>
  <c r="E287" i="2" s="1"/>
  <c r="F287" i="2"/>
  <c r="G287" i="2" s="1"/>
  <c r="H287" i="2"/>
  <c r="I287" i="2"/>
  <c r="J287" i="2"/>
  <c r="A288" i="2"/>
  <c r="B288" i="2"/>
  <c r="C288" i="2" s="1"/>
  <c r="D288" i="2"/>
  <c r="E288" i="2" s="1"/>
  <c r="F288" i="2"/>
  <c r="G288" i="2" s="1"/>
  <c r="H288" i="2"/>
  <c r="I288" i="2"/>
  <c r="J288" i="2"/>
  <c r="A289" i="2"/>
  <c r="B289" i="2"/>
  <c r="C289" i="2" s="1"/>
  <c r="D289" i="2"/>
  <c r="E289" i="2" s="1"/>
  <c r="F289" i="2"/>
  <c r="G289" i="2" s="1"/>
  <c r="H289" i="2"/>
  <c r="I289" i="2"/>
  <c r="J289" i="2"/>
  <c r="A290" i="2"/>
  <c r="B290" i="2"/>
  <c r="C290" i="2" s="1"/>
  <c r="D290" i="2"/>
  <c r="E290" i="2" s="1"/>
  <c r="F290" i="2"/>
  <c r="G290" i="2" s="1"/>
  <c r="H290" i="2"/>
  <c r="I290" i="2"/>
  <c r="J290" i="2"/>
  <c r="A291" i="2"/>
  <c r="B291" i="2"/>
  <c r="C291" i="2" s="1"/>
  <c r="D291" i="2"/>
  <c r="E291" i="2"/>
  <c r="F291" i="2"/>
  <c r="G291" i="2" s="1"/>
  <c r="H291" i="2"/>
  <c r="I291" i="2"/>
  <c r="K291" i="2" s="1"/>
  <c r="J291" i="2"/>
  <c r="A292" i="2"/>
  <c r="B292" i="2"/>
  <c r="C292" i="2" s="1"/>
  <c r="D292" i="2"/>
  <c r="E292" i="2" s="1"/>
  <c r="F292" i="2"/>
  <c r="G292" i="2" s="1"/>
  <c r="H292" i="2"/>
  <c r="I292" i="2"/>
  <c r="J292" i="2"/>
  <c r="A293" i="2"/>
  <c r="B293" i="2"/>
  <c r="C293" i="2" s="1"/>
  <c r="D293" i="2"/>
  <c r="E293" i="2" s="1"/>
  <c r="F293" i="2"/>
  <c r="G293" i="2" s="1"/>
  <c r="H293" i="2"/>
  <c r="I293" i="2"/>
  <c r="J293" i="2"/>
  <c r="A294" i="2"/>
  <c r="B294" i="2"/>
  <c r="C294" i="2" s="1"/>
  <c r="D294" i="2"/>
  <c r="E294" i="2" s="1"/>
  <c r="F294" i="2"/>
  <c r="G294" i="2" s="1"/>
  <c r="H294" i="2"/>
  <c r="I294" i="2"/>
  <c r="K294" i="2" s="1"/>
  <c r="J294" i="2"/>
  <c r="A295" i="2"/>
  <c r="B295" i="2"/>
  <c r="C295" i="2" s="1"/>
  <c r="D295" i="2"/>
  <c r="E295" i="2"/>
  <c r="F295" i="2"/>
  <c r="G295" i="2" s="1"/>
  <c r="H295" i="2"/>
  <c r="I295" i="2"/>
  <c r="J295" i="2"/>
  <c r="A296" i="2"/>
  <c r="B296" i="2"/>
  <c r="C296" i="2" s="1"/>
  <c r="D296" i="2"/>
  <c r="E296" i="2" s="1"/>
  <c r="F296" i="2"/>
  <c r="G296" i="2" s="1"/>
  <c r="H296" i="2"/>
  <c r="I296" i="2"/>
  <c r="K296" i="2" s="1"/>
  <c r="J296" i="2"/>
  <c r="A297" i="2"/>
  <c r="B297" i="2"/>
  <c r="C297" i="2" s="1"/>
  <c r="D297" i="2"/>
  <c r="E297" i="2" s="1"/>
  <c r="F297" i="2"/>
  <c r="G297" i="2"/>
  <c r="H297" i="2"/>
  <c r="I297" i="2"/>
  <c r="J297" i="2"/>
  <c r="A298" i="2"/>
  <c r="B298" i="2"/>
  <c r="C298" i="2" s="1"/>
  <c r="D298" i="2"/>
  <c r="E298" i="2" s="1"/>
  <c r="F298" i="2"/>
  <c r="G298" i="2" s="1"/>
  <c r="H298" i="2"/>
  <c r="I298" i="2"/>
  <c r="K298" i="2" s="1"/>
  <c r="J298" i="2"/>
  <c r="A299" i="2"/>
  <c r="B299" i="2"/>
  <c r="C299" i="2" s="1"/>
  <c r="D299" i="2"/>
  <c r="E299" i="2" s="1"/>
  <c r="F299" i="2"/>
  <c r="G299" i="2" s="1"/>
  <c r="H299" i="2"/>
  <c r="I299" i="2"/>
  <c r="J299" i="2"/>
  <c r="A300" i="2"/>
  <c r="B300" i="2"/>
  <c r="C300" i="2" s="1"/>
  <c r="D300" i="2"/>
  <c r="E300" i="2" s="1"/>
  <c r="F300" i="2"/>
  <c r="G300" i="2" s="1"/>
  <c r="H300" i="2"/>
  <c r="I300" i="2"/>
  <c r="J300" i="2"/>
  <c r="K300" i="2" s="1"/>
  <c r="A301" i="2"/>
  <c r="B301" i="2"/>
  <c r="C301" i="2"/>
  <c r="D301" i="2"/>
  <c r="E301" i="2" s="1"/>
  <c r="F301" i="2"/>
  <c r="G301" i="2"/>
  <c r="H301" i="2"/>
  <c r="I301" i="2"/>
  <c r="J301" i="2"/>
  <c r="A302" i="2"/>
  <c r="B302" i="2"/>
  <c r="C302" i="2"/>
  <c r="D302" i="2"/>
  <c r="E302" i="2" s="1"/>
  <c r="F302" i="2"/>
  <c r="G302" i="2"/>
  <c r="H302" i="2"/>
  <c r="I302" i="2"/>
  <c r="J302" i="2"/>
  <c r="A303" i="2"/>
  <c r="B303" i="2"/>
  <c r="C303" i="2"/>
  <c r="D303" i="2"/>
  <c r="E303" i="2"/>
  <c r="F303" i="2"/>
  <c r="G303" i="2" s="1"/>
  <c r="H303" i="2"/>
  <c r="I303" i="2"/>
  <c r="J303" i="2"/>
  <c r="A304" i="2"/>
  <c r="B304" i="2"/>
  <c r="C304" i="2" s="1"/>
  <c r="D304" i="2"/>
  <c r="E304" i="2" s="1"/>
  <c r="F304" i="2"/>
  <c r="G304" i="2" s="1"/>
  <c r="H304" i="2"/>
  <c r="I304" i="2"/>
  <c r="J304" i="2"/>
  <c r="A305" i="2"/>
  <c r="B305" i="2"/>
  <c r="C305" i="2" s="1"/>
  <c r="D305" i="2"/>
  <c r="E305" i="2" s="1"/>
  <c r="F305" i="2"/>
  <c r="G305" i="2" s="1"/>
  <c r="H305" i="2"/>
  <c r="I305" i="2"/>
  <c r="J305" i="2"/>
  <c r="K305" i="2" s="1"/>
  <c r="A306" i="2"/>
  <c r="B306" i="2"/>
  <c r="C306" i="2" s="1"/>
  <c r="D306" i="2"/>
  <c r="E306" i="2" s="1"/>
  <c r="F306" i="2"/>
  <c r="G306" i="2"/>
  <c r="H306" i="2"/>
  <c r="I306" i="2"/>
  <c r="J306" i="2"/>
  <c r="A307" i="2"/>
  <c r="B307" i="2"/>
  <c r="C307" i="2" s="1"/>
  <c r="D307" i="2"/>
  <c r="E307" i="2" s="1"/>
  <c r="F307" i="2"/>
  <c r="G307" i="2" s="1"/>
  <c r="H307" i="2"/>
  <c r="I307" i="2"/>
  <c r="J307" i="2"/>
  <c r="A308" i="2"/>
  <c r="B308" i="2"/>
  <c r="C308" i="2" s="1"/>
  <c r="D308" i="2"/>
  <c r="E308" i="2" s="1"/>
  <c r="F308" i="2"/>
  <c r="G308" i="2" s="1"/>
  <c r="H308" i="2"/>
  <c r="I308" i="2"/>
  <c r="J308" i="2"/>
  <c r="A309" i="2"/>
  <c r="B309" i="2"/>
  <c r="C309" i="2" s="1"/>
  <c r="D309" i="2"/>
  <c r="E309" i="2" s="1"/>
  <c r="F309" i="2"/>
  <c r="G309" i="2" s="1"/>
  <c r="H309" i="2"/>
  <c r="I309" i="2"/>
  <c r="J309" i="2"/>
  <c r="A310" i="2"/>
  <c r="B310" i="2"/>
  <c r="C310" i="2" s="1"/>
  <c r="D310" i="2"/>
  <c r="E310" i="2" s="1"/>
  <c r="F310" i="2"/>
  <c r="G310" i="2" s="1"/>
  <c r="H310" i="2"/>
  <c r="I310" i="2"/>
  <c r="J310" i="2"/>
  <c r="A311" i="2"/>
  <c r="B311" i="2"/>
  <c r="C311" i="2"/>
  <c r="D311" i="2"/>
  <c r="E311" i="2" s="1"/>
  <c r="F311" i="2"/>
  <c r="G311" i="2" s="1"/>
  <c r="H311" i="2"/>
  <c r="I311" i="2"/>
  <c r="J311" i="2"/>
  <c r="A312" i="2"/>
  <c r="B312" i="2"/>
  <c r="C312" i="2" s="1"/>
  <c r="D312" i="2"/>
  <c r="E312" i="2" s="1"/>
  <c r="F312" i="2"/>
  <c r="G312" i="2" s="1"/>
  <c r="H312" i="2"/>
  <c r="I312" i="2"/>
  <c r="J312" i="2"/>
  <c r="K312" i="2"/>
  <c r="A313" i="2"/>
  <c r="B313" i="2"/>
  <c r="C313" i="2"/>
  <c r="D313" i="2"/>
  <c r="E313" i="2"/>
  <c r="F313" i="2"/>
  <c r="G313" i="2" s="1"/>
  <c r="H313" i="2"/>
  <c r="I313" i="2"/>
  <c r="J313" i="2"/>
  <c r="A314" i="2"/>
  <c r="B314" i="2"/>
  <c r="C314" i="2" s="1"/>
  <c r="D314" i="2"/>
  <c r="E314" i="2" s="1"/>
  <c r="F314" i="2"/>
  <c r="G314" i="2" s="1"/>
  <c r="H314" i="2"/>
  <c r="I314" i="2"/>
  <c r="K314" i="2" s="1"/>
  <c r="J314" i="2"/>
  <c r="A315" i="2"/>
  <c r="B315" i="2"/>
  <c r="C315" i="2" s="1"/>
  <c r="D315" i="2"/>
  <c r="E315" i="2"/>
  <c r="F315" i="2"/>
  <c r="G315" i="2" s="1"/>
  <c r="H315" i="2"/>
  <c r="I315" i="2"/>
  <c r="J315" i="2"/>
  <c r="A316" i="2"/>
  <c r="B316" i="2"/>
  <c r="C316" i="2" s="1"/>
  <c r="D316" i="2"/>
  <c r="E316" i="2" s="1"/>
  <c r="F316" i="2"/>
  <c r="G316" i="2" s="1"/>
  <c r="H316" i="2"/>
  <c r="I316" i="2"/>
  <c r="J316" i="2"/>
  <c r="A317" i="2"/>
  <c r="B317" i="2"/>
  <c r="C317" i="2" s="1"/>
  <c r="D317" i="2"/>
  <c r="E317" i="2" s="1"/>
  <c r="F317" i="2"/>
  <c r="G317" i="2" s="1"/>
  <c r="H317" i="2"/>
  <c r="I317" i="2"/>
  <c r="J317" i="2"/>
  <c r="A318" i="2"/>
  <c r="B318" i="2"/>
  <c r="C318" i="2" s="1"/>
  <c r="D318" i="2"/>
  <c r="E318" i="2" s="1"/>
  <c r="F318" i="2"/>
  <c r="G318" i="2" s="1"/>
  <c r="H318" i="2"/>
  <c r="I318" i="2"/>
  <c r="J318" i="2"/>
  <c r="K318" i="2" s="1"/>
  <c r="A319" i="2"/>
  <c r="B319" i="2"/>
  <c r="C319" i="2"/>
  <c r="D319" i="2"/>
  <c r="E319" i="2" s="1"/>
  <c r="F319" i="2"/>
  <c r="G319" i="2"/>
  <c r="H319" i="2"/>
  <c r="I319" i="2"/>
  <c r="J319" i="2"/>
  <c r="A320" i="2"/>
  <c r="B320" i="2"/>
  <c r="C320" i="2" s="1"/>
  <c r="D320" i="2"/>
  <c r="E320" i="2" s="1"/>
  <c r="F320" i="2"/>
  <c r="G320" i="2"/>
  <c r="H320" i="2"/>
  <c r="I320" i="2"/>
  <c r="J320" i="2"/>
  <c r="A321" i="2"/>
  <c r="B321" i="2"/>
  <c r="C321" i="2"/>
  <c r="D321" i="2"/>
  <c r="E321" i="2" s="1"/>
  <c r="F321" i="2"/>
  <c r="G321" i="2" s="1"/>
  <c r="H321" i="2"/>
  <c r="I321" i="2"/>
  <c r="K321" i="2" s="1"/>
  <c r="J321" i="2"/>
  <c r="A322" i="2"/>
  <c r="B322" i="2"/>
  <c r="C322" i="2" s="1"/>
  <c r="D322" i="2"/>
  <c r="E322" i="2" s="1"/>
  <c r="F322" i="2"/>
  <c r="G322" i="2" s="1"/>
  <c r="H322" i="2"/>
  <c r="I322" i="2"/>
  <c r="J322" i="2"/>
  <c r="K322" i="2" s="1"/>
  <c r="A323" i="2"/>
  <c r="B323" i="2"/>
  <c r="C323" i="2" s="1"/>
  <c r="D323" i="2"/>
  <c r="E323" i="2"/>
  <c r="F323" i="2"/>
  <c r="G323" i="2" s="1"/>
  <c r="H323" i="2"/>
  <c r="I323" i="2"/>
  <c r="K323" i="2" s="1"/>
  <c r="J323" i="2"/>
  <c r="A324" i="2"/>
  <c r="B324" i="2"/>
  <c r="C324" i="2" s="1"/>
  <c r="D324" i="2"/>
  <c r="E324" i="2"/>
  <c r="F324" i="2"/>
  <c r="G324" i="2" s="1"/>
  <c r="H324" i="2"/>
  <c r="I324" i="2"/>
  <c r="J324" i="2"/>
  <c r="A325" i="2"/>
  <c r="B325" i="2"/>
  <c r="C325" i="2" s="1"/>
  <c r="D325" i="2"/>
  <c r="E325" i="2" s="1"/>
  <c r="F325" i="2"/>
  <c r="G325" i="2"/>
  <c r="H325" i="2"/>
  <c r="I325" i="2"/>
  <c r="J325" i="2"/>
  <c r="A326" i="2"/>
  <c r="B326" i="2"/>
  <c r="C326" i="2"/>
  <c r="D326" i="2"/>
  <c r="E326" i="2" s="1"/>
  <c r="F326" i="2"/>
  <c r="G326" i="2"/>
  <c r="H326" i="2"/>
  <c r="I326" i="2"/>
  <c r="J326" i="2"/>
  <c r="A327" i="2"/>
  <c r="B327" i="2"/>
  <c r="C327" i="2"/>
  <c r="D327" i="2"/>
  <c r="E327" i="2" s="1"/>
  <c r="F327" i="2"/>
  <c r="G327" i="2"/>
  <c r="H327" i="2"/>
  <c r="I327" i="2"/>
  <c r="J327" i="2"/>
  <c r="A328" i="2"/>
  <c r="B328" i="2"/>
  <c r="C328" i="2" s="1"/>
  <c r="D328" i="2"/>
  <c r="E328" i="2" s="1"/>
  <c r="F328" i="2"/>
  <c r="G328" i="2" s="1"/>
  <c r="H328" i="2"/>
  <c r="I328" i="2"/>
  <c r="J328" i="2"/>
  <c r="A329" i="2"/>
  <c r="B329" i="2"/>
  <c r="C329" i="2"/>
  <c r="D329" i="2"/>
  <c r="E329" i="2" s="1"/>
  <c r="F329" i="2"/>
  <c r="G329" i="2"/>
  <c r="H329" i="2"/>
  <c r="I329" i="2"/>
  <c r="J329" i="2"/>
  <c r="A330" i="2"/>
  <c r="B330" i="2"/>
  <c r="C330" i="2" s="1"/>
  <c r="D330" i="2"/>
  <c r="E330" i="2" s="1"/>
  <c r="F330" i="2"/>
  <c r="G330" i="2" s="1"/>
  <c r="H330" i="2"/>
  <c r="I330" i="2"/>
  <c r="K330" i="2" s="1"/>
  <c r="J330" i="2"/>
  <c r="A331" i="2"/>
  <c r="B331" i="2"/>
  <c r="C331" i="2" s="1"/>
  <c r="D331" i="2"/>
  <c r="E331" i="2"/>
  <c r="F331" i="2"/>
  <c r="G331" i="2" s="1"/>
  <c r="H331" i="2"/>
  <c r="I331" i="2"/>
  <c r="K331" i="2" s="1"/>
  <c r="J331" i="2"/>
  <c r="A332" i="2"/>
  <c r="B332" i="2"/>
  <c r="C332" i="2" s="1"/>
  <c r="D332" i="2"/>
  <c r="E332" i="2" s="1"/>
  <c r="F332" i="2"/>
  <c r="G332" i="2" s="1"/>
  <c r="H332" i="2"/>
  <c r="I332" i="2"/>
  <c r="J332" i="2"/>
  <c r="A333" i="2"/>
  <c r="B333" i="2"/>
  <c r="C333" i="2" s="1"/>
  <c r="D333" i="2"/>
  <c r="E333" i="2" s="1"/>
  <c r="F333" i="2"/>
  <c r="G333" i="2" s="1"/>
  <c r="H333" i="2"/>
  <c r="I333" i="2"/>
  <c r="J333" i="2"/>
  <c r="A334" i="2"/>
  <c r="B334" i="2"/>
  <c r="C334" i="2" s="1"/>
  <c r="D334" i="2"/>
  <c r="E334" i="2" s="1"/>
  <c r="F334" i="2"/>
  <c r="G334" i="2" s="1"/>
  <c r="H334" i="2"/>
  <c r="I334" i="2"/>
  <c r="J334" i="2"/>
  <c r="K334" i="2"/>
  <c r="A335" i="2"/>
  <c r="B335" i="2"/>
  <c r="C335" i="2"/>
  <c r="D335" i="2"/>
  <c r="E335" i="2" s="1"/>
  <c r="F335" i="2"/>
  <c r="G335" i="2"/>
  <c r="H335" i="2"/>
  <c r="I335" i="2"/>
  <c r="J335" i="2"/>
  <c r="A336" i="2"/>
  <c r="B336" i="2"/>
  <c r="C336" i="2" s="1"/>
  <c r="D336" i="2"/>
  <c r="E336" i="2" s="1"/>
  <c r="F336" i="2"/>
  <c r="G336" i="2" s="1"/>
  <c r="H336" i="2"/>
  <c r="I336" i="2"/>
  <c r="J336" i="2"/>
  <c r="A337" i="2"/>
  <c r="B337" i="2"/>
  <c r="C337" i="2" s="1"/>
  <c r="D337" i="2"/>
  <c r="E337" i="2"/>
  <c r="F337" i="2"/>
  <c r="G337" i="2" s="1"/>
  <c r="H337" i="2"/>
  <c r="I337" i="2"/>
  <c r="J337" i="2"/>
  <c r="A338" i="2"/>
  <c r="B338" i="2"/>
  <c r="C338" i="2" s="1"/>
  <c r="D338" i="2"/>
  <c r="E338" i="2" s="1"/>
  <c r="F338" i="2"/>
  <c r="G338" i="2" s="1"/>
  <c r="H338" i="2"/>
  <c r="I338" i="2"/>
  <c r="J338" i="2"/>
  <c r="A339" i="2"/>
  <c r="B339" i="2"/>
  <c r="C339" i="2" s="1"/>
  <c r="D339" i="2"/>
  <c r="E339" i="2" s="1"/>
  <c r="F339" i="2"/>
  <c r="G339" i="2" s="1"/>
  <c r="H339" i="2"/>
  <c r="I339" i="2"/>
  <c r="J339" i="2"/>
  <c r="A340" i="2"/>
  <c r="B340" i="2"/>
  <c r="C340" i="2" s="1"/>
  <c r="D340" i="2"/>
  <c r="E340" i="2" s="1"/>
  <c r="F340" i="2"/>
  <c r="G340" i="2" s="1"/>
  <c r="H340" i="2"/>
  <c r="I340" i="2"/>
  <c r="J340" i="2"/>
  <c r="A341" i="2"/>
  <c r="B341" i="2"/>
  <c r="C341" i="2" s="1"/>
  <c r="D341" i="2"/>
  <c r="E341" i="2"/>
  <c r="F341" i="2"/>
  <c r="G341" i="2" s="1"/>
  <c r="H341" i="2"/>
  <c r="I341" i="2"/>
  <c r="J341" i="2"/>
  <c r="A342" i="2"/>
  <c r="B342" i="2"/>
  <c r="C342" i="2" s="1"/>
  <c r="D342" i="2"/>
  <c r="E342" i="2" s="1"/>
  <c r="F342" i="2"/>
  <c r="G342" i="2" s="1"/>
  <c r="H342" i="2"/>
  <c r="I342" i="2"/>
  <c r="J342" i="2"/>
  <c r="A343" i="2"/>
  <c r="B343" i="2"/>
  <c r="C343" i="2" s="1"/>
  <c r="D343" i="2"/>
  <c r="E343" i="2"/>
  <c r="F343" i="2"/>
  <c r="G343" i="2" s="1"/>
  <c r="H343" i="2"/>
  <c r="I343" i="2"/>
  <c r="K343" i="2" s="1"/>
  <c r="J343" i="2"/>
  <c r="A344" i="2"/>
  <c r="B344" i="2"/>
  <c r="C344" i="2" s="1"/>
  <c r="D344" i="2"/>
  <c r="E344" i="2" s="1"/>
  <c r="F344" i="2"/>
  <c r="G344" i="2"/>
  <c r="H344" i="2"/>
  <c r="I344" i="2"/>
  <c r="J344" i="2"/>
  <c r="A345" i="2"/>
  <c r="B345" i="2"/>
  <c r="C345" i="2"/>
  <c r="D345" i="2"/>
  <c r="E345" i="2"/>
  <c r="F345" i="2"/>
  <c r="G345" i="2" s="1"/>
  <c r="H345" i="2"/>
  <c r="I345" i="2"/>
  <c r="K345" i="2" s="1"/>
  <c r="J345" i="2"/>
  <c r="A346" i="2"/>
  <c r="B346" i="2"/>
  <c r="C346" i="2" s="1"/>
  <c r="D346" i="2"/>
  <c r="E346" i="2" s="1"/>
  <c r="F346" i="2"/>
  <c r="G346" i="2" s="1"/>
  <c r="H346" i="2"/>
  <c r="I346" i="2"/>
  <c r="J346" i="2"/>
  <c r="A347" i="2"/>
  <c r="B347" i="2"/>
  <c r="C347" i="2"/>
  <c r="D347" i="2"/>
  <c r="E347" i="2" s="1"/>
  <c r="F347" i="2"/>
  <c r="G347" i="2" s="1"/>
  <c r="H347" i="2"/>
  <c r="I347" i="2"/>
  <c r="K347" i="2" s="1"/>
  <c r="J347" i="2"/>
  <c r="A348" i="2"/>
  <c r="B348" i="2"/>
  <c r="C348" i="2" s="1"/>
  <c r="D348" i="2"/>
  <c r="E348" i="2" s="1"/>
  <c r="F348" i="2"/>
  <c r="G348" i="2" s="1"/>
  <c r="H348" i="2"/>
  <c r="I348" i="2"/>
  <c r="J348" i="2"/>
  <c r="K348" i="2" s="1"/>
  <c r="A349" i="2"/>
  <c r="B349" i="2"/>
  <c r="C349" i="2" s="1"/>
  <c r="D349" i="2"/>
  <c r="E349" i="2"/>
  <c r="F349" i="2"/>
  <c r="G349" i="2" s="1"/>
  <c r="H349" i="2"/>
  <c r="I349" i="2"/>
  <c r="K349" i="2" s="1"/>
  <c r="J349" i="2"/>
  <c r="A350" i="2"/>
  <c r="B350" i="2"/>
  <c r="C350" i="2" s="1"/>
  <c r="D350" i="2"/>
  <c r="E350" i="2" s="1"/>
  <c r="F350" i="2"/>
  <c r="G350" i="2" s="1"/>
  <c r="H350" i="2"/>
  <c r="I350" i="2"/>
  <c r="J350" i="2"/>
  <c r="A351" i="2"/>
  <c r="B351" i="2"/>
  <c r="C351" i="2" s="1"/>
  <c r="D351" i="2"/>
  <c r="E351" i="2" s="1"/>
  <c r="F351" i="2"/>
  <c r="G351" i="2" s="1"/>
  <c r="H351" i="2"/>
  <c r="I351" i="2"/>
  <c r="J351" i="2"/>
  <c r="A352" i="2"/>
  <c r="B352" i="2"/>
  <c r="C352" i="2"/>
  <c r="D352" i="2"/>
  <c r="E352" i="2" s="1"/>
  <c r="F352" i="2"/>
  <c r="G352" i="2"/>
  <c r="H352" i="2"/>
  <c r="I352" i="2"/>
  <c r="J352" i="2"/>
  <c r="A353" i="2"/>
  <c r="B353" i="2"/>
  <c r="C353" i="2" s="1"/>
  <c r="D353" i="2"/>
  <c r="E353" i="2" s="1"/>
  <c r="F353" i="2"/>
  <c r="G353" i="2" s="1"/>
  <c r="H353" i="2"/>
  <c r="I353" i="2"/>
  <c r="J353" i="2"/>
  <c r="A354" i="2"/>
  <c r="B354" i="2"/>
  <c r="C354" i="2" s="1"/>
  <c r="D354" i="2"/>
  <c r="E354" i="2" s="1"/>
  <c r="F354" i="2"/>
  <c r="G354" i="2" s="1"/>
  <c r="H354" i="2"/>
  <c r="I354" i="2"/>
  <c r="J354" i="2"/>
  <c r="A355" i="2"/>
  <c r="B355" i="2"/>
  <c r="C355" i="2" s="1"/>
  <c r="D355" i="2"/>
  <c r="E355" i="2" s="1"/>
  <c r="F355" i="2"/>
  <c r="G355" i="2" s="1"/>
  <c r="H355" i="2"/>
  <c r="I355" i="2"/>
  <c r="J355" i="2"/>
  <c r="K355" i="2" s="1"/>
  <c r="A356" i="2"/>
  <c r="B356" i="2"/>
  <c r="C356" i="2"/>
  <c r="D356" i="2"/>
  <c r="E356" i="2" s="1"/>
  <c r="F356" i="2"/>
  <c r="G356" i="2"/>
  <c r="H356" i="2"/>
  <c r="I356" i="2"/>
  <c r="J356" i="2"/>
  <c r="A357" i="2"/>
  <c r="B357" i="2"/>
  <c r="C357" i="2"/>
  <c r="D357" i="2"/>
  <c r="E357" i="2" s="1"/>
  <c r="F357" i="2"/>
  <c r="G357" i="2" s="1"/>
  <c r="H357" i="2"/>
  <c r="I357" i="2"/>
  <c r="J357" i="2"/>
  <c r="A358" i="2"/>
  <c r="B358" i="2"/>
  <c r="C358" i="2" s="1"/>
  <c r="D358" i="2"/>
  <c r="E358" i="2" s="1"/>
  <c r="F358" i="2"/>
  <c r="G358" i="2" s="1"/>
  <c r="H358" i="2"/>
  <c r="I358" i="2"/>
  <c r="J358" i="2"/>
  <c r="A359" i="2"/>
  <c r="B359" i="2"/>
  <c r="C359" i="2" s="1"/>
  <c r="D359" i="2"/>
  <c r="E359" i="2"/>
  <c r="F359" i="2"/>
  <c r="G359" i="2" s="1"/>
  <c r="H359" i="2"/>
  <c r="I359" i="2"/>
  <c r="J359" i="2"/>
  <c r="A360" i="2"/>
  <c r="B360" i="2"/>
  <c r="C360" i="2" s="1"/>
  <c r="D360" i="2"/>
  <c r="E360" i="2" s="1"/>
  <c r="F360" i="2"/>
  <c r="G360" i="2"/>
  <c r="H360" i="2"/>
  <c r="I360" i="2"/>
  <c r="K360" i="2" s="1"/>
  <c r="J360" i="2"/>
  <c r="A361" i="2"/>
  <c r="B361" i="2"/>
  <c r="C361" i="2" s="1"/>
  <c r="D361" i="2"/>
  <c r="E361" i="2" s="1"/>
  <c r="F361" i="2"/>
  <c r="G361" i="2"/>
  <c r="H361" i="2"/>
  <c r="I361" i="2"/>
  <c r="J361" i="2"/>
  <c r="A362" i="2"/>
  <c r="B362" i="2"/>
  <c r="C362" i="2"/>
  <c r="D362" i="2"/>
  <c r="E362" i="2" s="1"/>
  <c r="F362" i="2"/>
  <c r="G362" i="2"/>
  <c r="H362" i="2"/>
  <c r="I362" i="2"/>
  <c r="J362" i="2"/>
  <c r="A363" i="2"/>
  <c r="B363" i="2"/>
  <c r="C363" i="2"/>
  <c r="D363" i="2"/>
  <c r="E363" i="2" s="1"/>
  <c r="F363" i="2"/>
  <c r="G363" i="2" s="1"/>
  <c r="H363" i="2"/>
  <c r="I363" i="2"/>
  <c r="J363" i="2"/>
  <c r="A364" i="2"/>
  <c r="B364" i="2"/>
  <c r="C364" i="2" s="1"/>
  <c r="D364" i="2"/>
  <c r="E364" i="2" s="1"/>
  <c r="F364" i="2"/>
  <c r="G364" i="2" s="1"/>
  <c r="H364" i="2"/>
  <c r="I364" i="2"/>
  <c r="K364" i="2" s="1"/>
  <c r="J364" i="2"/>
  <c r="A365" i="2"/>
  <c r="B365" i="2"/>
  <c r="C365" i="2" s="1"/>
  <c r="D365" i="2"/>
  <c r="E365" i="2"/>
  <c r="F365" i="2"/>
  <c r="G365" i="2" s="1"/>
  <c r="H365" i="2"/>
  <c r="I365" i="2"/>
  <c r="J365" i="2"/>
  <c r="A366" i="2"/>
  <c r="B366" i="2"/>
  <c r="C366" i="2"/>
  <c r="D366" i="2"/>
  <c r="E366" i="2"/>
  <c r="F366" i="2"/>
  <c r="G366" i="2" s="1"/>
  <c r="H366" i="2"/>
  <c r="I366" i="2"/>
  <c r="K366" i="2" s="1"/>
  <c r="J366" i="2"/>
  <c r="A367" i="2"/>
  <c r="B367" i="2"/>
  <c r="C367" i="2" s="1"/>
  <c r="D367" i="2"/>
  <c r="E367" i="2" s="1"/>
  <c r="F367" i="2"/>
  <c r="G367" i="2" s="1"/>
  <c r="H367" i="2"/>
  <c r="I367" i="2"/>
  <c r="J367" i="2"/>
  <c r="A368" i="2"/>
  <c r="B368" i="2"/>
  <c r="C368" i="2" s="1"/>
  <c r="D368" i="2"/>
  <c r="E368" i="2" s="1"/>
  <c r="F368" i="2"/>
  <c r="G368" i="2" s="1"/>
  <c r="H368" i="2"/>
  <c r="I368" i="2"/>
  <c r="K368" i="2" s="1"/>
  <c r="J368" i="2"/>
  <c r="A369" i="2"/>
  <c r="B369" i="2"/>
  <c r="C369" i="2" s="1"/>
  <c r="D369" i="2"/>
  <c r="E369" i="2" s="1"/>
  <c r="F369" i="2"/>
  <c r="G369" i="2" s="1"/>
  <c r="H369" i="2"/>
  <c r="I369" i="2"/>
  <c r="J369" i="2"/>
  <c r="A370" i="2"/>
  <c r="B370" i="2"/>
  <c r="C370" i="2"/>
  <c r="D370" i="2"/>
  <c r="E370" i="2" s="1"/>
  <c r="F370" i="2"/>
  <c r="G370" i="2" s="1"/>
  <c r="H370" i="2"/>
  <c r="I370" i="2"/>
  <c r="J370" i="2"/>
  <c r="A371" i="2"/>
  <c r="B371" i="2"/>
  <c r="C371" i="2" s="1"/>
  <c r="D371" i="2"/>
  <c r="E371" i="2" s="1"/>
  <c r="F371" i="2"/>
  <c r="G371" i="2" s="1"/>
  <c r="H371" i="2"/>
  <c r="I371" i="2"/>
  <c r="J371" i="2"/>
  <c r="K371" i="2" s="1"/>
  <c r="A372" i="2"/>
  <c r="B372" i="2"/>
  <c r="C372" i="2"/>
  <c r="D372" i="2"/>
  <c r="E372" i="2" s="1"/>
  <c r="F372" i="2"/>
  <c r="G372" i="2" s="1"/>
  <c r="H372" i="2"/>
  <c r="I372" i="2"/>
  <c r="J372" i="2"/>
  <c r="K372" i="2" s="1"/>
  <c r="A373" i="2"/>
  <c r="B373" i="2"/>
  <c r="C373" i="2" s="1"/>
  <c r="D373" i="2"/>
  <c r="E373" i="2" s="1"/>
  <c r="F373" i="2"/>
  <c r="G373" i="2" s="1"/>
  <c r="H373" i="2"/>
  <c r="I373" i="2"/>
  <c r="J373" i="2"/>
  <c r="A374" i="2"/>
  <c r="B374" i="2"/>
  <c r="C374" i="2" s="1"/>
  <c r="D374" i="2"/>
  <c r="E374" i="2"/>
  <c r="F374" i="2"/>
  <c r="G374" i="2" s="1"/>
  <c r="H374" i="2"/>
  <c r="I374" i="2"/>
  <c r="K374" i="2" s="1"/>
  <c r="J374" i="2"/>
  <c r="A375" i="2"/>
  <c r="B375" i="2"/>
  <c r="C375" i="2" s="1"/>
  <c r="D375" i="2"/>
  <c r="E375" i="2" s="1"/>
  <c r="F375" i="2"/>
  <c r="G375" i="2" s="1"/>
  <c r="H375" i="2"/>
  <c r="I375" i="2"/>
  <c r="J375" i="2"/>
  <c r="A376" i="2"/>
  <c r="B376" i="2"/>
  <c r="C376" i="2"/>
  <c r="D376" i="2"/>
  <c r="E376" i="2" s="1"/>
  <c r="F376" i="2"/>
  <c r="G376" i="2"/>
  <c r="H376" i="2"/>
  <c r="I376" i="2"/>
  <c r="J376" i="2"/>
  <c r="A377" i="2"/>
  <c r="B377" i="2"/>
  <c r="C377" i="2" s="1"/>
  <c r="D377" i="2"/>
  <c r="E377" i="2" s="1"/>
  <c r="F377" i="2"/>
  <c r="G377" i="2" s="1"/>
  <c r="H377" i="2"/>
  <c r="I377" i="2"/>
  <c r="J377" i="2"/>
  <c r="K377" i="2" s="1"/>
  <c r="A378" i="2"/>
  <c r="B378" i="2"/>
  <c r="C378" i="2" s="1"/>
  <c r="D378" i="2"/>
  <c r="E378" i="2" s="1"/>
  <c r="F378" i="2"/>
  <c r="G378" i="2"/>
  <c r="H378" i="2"/>
  <c r="I378" i="2"/>
  <c r="K378" i="2" s="1"/>
  <c r="J378" i="2"/>
  <c r="A379" i="2"/>
  <c r="B379" i="2"/>
  <c r="C379" i="2" s="1"/>
  <c r="D379" i="2"/>
  <c r="E379" i="2" s="1"/>
  <c r="F379" i="2"/>
  <c r="G379" i="2" s="1"/>
  <c r="H379" i="2"/>
  <c r="I379" i="2"/>
  <c r="J379" i="2"/>
  <c r="A380" i="2"/>
  <c r="B380" i="2"/>
  <c r="C380" i="2" s="1"/>
  <c r="D380" i="2"/>
  <c r="E380" i="2" s="1"/>
  <c r="F380" i="2"/>
  <c r="G380" i="2" s="1"/>
  <c r="H380" i="2"/>
  <c r="I380" i="2"/>
  <c r="J380" i="2"/>
  <c r="A381" i="2"/>
  <c r="B381" i="2"/>
  <c r="C381" i="2" s="1"/>
  <c r="D381" i="2"/>
  <c r="E381" i="2" s="1"/>
  <c r="F381" i="2"/>
  <c r="G381" i="2" s="1"/>
  <c r="H381" i="2"/>
  <c r="I381" i="2"/>
  <c r="J381" i="2"/>
  <c r="A382" i="2"/>
  <c r="B382" i="2"/>
  <c r="C382" i="2" s="1"/>
  <c r="D382" i="2"/>
  <c r="E382" i="2" s="1"/>
  <c r="F382" i="2"/>
  <c r="G382" i="2" s="1"/>
  <c r="H382" i="2"/>
  <c r="I382" i="2"/>
  <c r="J382" i="2"/>
  <c r="A383" i="2"/>
  <c r="B383" i="2"/>
  <c r="C383" i="2" s="1"/>
  <c r="D383" i="2"/>
  <c r="E383" i="2" s="1"/>
  <c r="F383" i="2"/>
  <c r="G383" i="2" s="1"/>
  <c r="H383" i="2"/>
  <c r="I383" i="2"/>
  <c r="K383" i="2" s="1"/>
  <c r="J383" i="2"/>
  <c r="A384" i="2"/>
  <c r="B384" i="2"/>
  <c r="C384" i="2" s="1"/>
  <c r="D384" i="2"/>
  <c r="E384" i="2" s="1"/>
  <c r="F384" i="2"/>
  <c r="G384" i="2" s="1"/>
  <c r="H384" i="2"/>
  <c r="I384" i="2"/>
  <c r="J384" i="2"/>
  <c r="A385" i="2"/>
  <c r="B385" i="2"/>
  <c r="C385" i="2" s="1"/>
  <c r="D385" i="2"/>
  <c r="E385" i="2"/>
  <c r="F385" i="2"/>
  <c r="G385" i="2"/>
  <c r="H385" i="2"/>
  <c r="I385" i="2"/>
  <c r="J385" i="2"/>
  <c r="K385" i="2"/>
  <c r="A386" i="2"/>
  <c r="B386" i="2"/>
  <c r="C386" i="2" s="1"/>
  <c r="D386" i="2"/>
  <c r="E386" i="2" s="1"/>
  <c r="F386" i="2"/>
  <c r="G386" i="2"/>
  <c r="H386" i="2"/>
  <c r="I386" i="2"/>
  <c r="J386" i="2"/>
  <c r="A387" i="2"/>
  <c r="B387" i="2"/>
  <c r="C387" i="2"/>
  <c r="D387" i="2"/>
  <c r="E387" i="2" s="1"/>
  <c r="F387" i="2"/>
  <c r="G387" i="2"/>
  <c r="H387" i="2"/>
  <c r="I387" i="2"/>
  <c r="J387" i="2"/>
  <c r="A388" i="2"/>
  <c r="B388" i="2"/>
  <c r="C388" i="2"/>
  <c r="D388" i="2"/>
  <c r="E388" i="2" s="1"/>
  <c r="F388" i="2"/>
  <c r="G388" i="2" s="1"/>
  <c r="H388" i="2"/>
  <c r="I388" i="2"/>
  <c r="K388" i="2" s="1"/>
  <c r="J388" i="2"/>
  <c r="A389" i="2"/>
  <c r="B389" i="2"/>
  <c r="C389" i="2" s="1"/>
  <c r="D389" i="2"/>
  <c r="E389" i="2" s="1"/>
  <c r="F389" i="2"/>
  <c r="G389" i="2" s="1"/>
  <c r="H389" i="2"/>
  <c r="I389" i="2"/>
  <c r="J389" i="2"/>
  <c r="A390" i="2"/>
  <c r="B390" i="2"/>
  <c r="C390" i="2" s="1"/>
  <c r="D390" i="2"/>
  <c r="E390" i="2"/>
  <c r="F390" i="2"/>
  <c r="G390" i="2" s="1"/>
  <c r="H390" i="2"/>
  <c r="I390" i="2"/>
  <c r="K390" i="2" s="1"/>
  <c r="J390" i="2"/>
  <c r="A391" i="2"/>
  <c r="B391" i="2"/>
  <c r="C391" i="2" s="1"/>
  <c r="D391" i="2"/>
  <c r="E391" i="2"/>
  <c r="F391" i="2"/>
  <c r="G391" i="2" s="1"/>
  <c r="H391" i="2"/>
  <c r="I391" i="2"/>
  <c r="J391" i="2"/>
  <c r="A392" i="2"/>
  <c r="B392" i="2"/>
  <c r="C392" i="2" s="1"/>
  <c r="D392" i="2"/>
  <c r="E392" i="2" s="1"/>
  <c r="F392" i="2"/>
  <c r="G392" i="2"/>
  <c r="H392" i="2"/>
  <c r="I392" i="2"/>
  <c r="J392" i="2"/>
  <c r="A393" i="2"/>
  <c r="B393" i="2"/>
  <c r="C393" i="2" s="1"/>
  <c r="D393" i="2"/>
  <c r="E393" i="2" s="1"/>
  <c r="F393" i="2"/>
  <c r="G393" i="2" s="1"/>
  <c r="H393" i="2"/>
  <c r="I393" i="2"/>
  <c r="J393" i="2"/>
  <c r="A394" i="2"/>
  <c r="B394" i="2"/>
  <c r="C394" i="2" s="1"/>
  <c r="D394" i="2"/>
  <c r="E394" i="2"/>
  <c r="F394" i="2"/>
  <c r="G394" i="2" s="1"/>
  <c r="H394" i="2"/>
  <c r="I394" i="2"/>
  <c r="K394" i="2" s="1"/>
  <c r="J394" i="2"/>
  <c r="A395" i="2"/>
  <c r="B395" i="2"/>
  <c r="C395" i="2" s="1"/>
  <c r="D395" i="2"/>
  <c r="E395" i="2" s="1"/>
  <c r="F395" i="2"/>
  <c r="G395" i="2" s="1"/>
  <c r="H395" i="2"/>
  <c r="I395" i="2"/>
  <c r="J395" i="2"/>
  <c r="K395" i="2" s="1"/>
  <c r="A396" i="2"/>
  <c r="B396" i="2"/>
  <c r="C396" i="2"/>
  <c r="D396" i="2"/>
  <c r="E396" i="2" s="1"/>
  <c r="F396" i="2"/>
  <c r="G396" i="2" s="1"/>
  <c r="H396" i="2"/>
  <c r="I396" i="2"/>
  <c r="J396" i="2"/>
  <c r="A397" i="2"/>
  <c r="B397" i="2"/>
  <c r="C397" i="2" s="1"/>
  <c r="D397" i="2"/>
  <c r="E397" i="2" s="1"/>
  <c r="F397" i="2"/>
  <c r="G397" i="2" s="1"/>
  <c r="H397" i="2"/>
  <c r="I397" i="2"/>
  <c r="J397" i="2"/>
  <c r="K397" i="2" s="1"/>
  <c r="A398" i="2"/>
  <c r="B398" i="2"/>
  <c r="C398" i="2"/>
  <c r="D398" i="2"/>
  <c r="E398" i="2" s="1"/>
  <c r="F398" i="2"/>
  <c r="G398" i="2"/>
  <c r="H398" i="2"/>
  <c r="I398" i="2"/>
  <c r="J398" i="2"/>
  <c r="A399" i="2"/>
  <c r="B399" i="2"/>
  <c r="C399" i="2" s="1"/>
  <c r="D399" i="2"/>
  <c r="E399" i="2" s="1"/>
  <c r="F399" i="2"/>
  <c r="G399" i="2" s="1"/>
  <c r="H399" i="2"/>
  <c r="I399" i="2"/>
  <c r="J399" i="2"/>
  <c r="A45" i="2"/>
  <c r="B45" i="2"/>
  <c r="C45" i="2" s="1"/>
  <c r="D45" i="2"/>
  <c r="E45" i="2" s="1"/>
  <c r="F45" i="2"/>
  <c r="G45" i="2" s="1"/>
  <c r="H45" i="2"/>
  <c r="I45" i="2"/>
  <c r="J45" i="2"/>
  <c r="A46" i="2"/>
  <c r="B46" i="2"/>
  <c r="C46" i="2" s="1"/>
  <c r="D46" i="2"/>
  <c r="E46" i="2" s="1"/>
  <c r="F46" i="2"/>
  <c r="G46" i="2" s="1"/>
  <c r="H46" i="2"/>
  <c r="I46" i="2"/>
  <c r="J46" i="2"/>
  <c r="A47" i="2"/>
  <c r="B47" i="2"/>
  <c r="C47" i="2" s="1"/>
  <c r="D47" i="2"/>
  <c r="E47" i="2" s="1"/>
  <c r="F47" i="2"/>
  <c r="G47" i="2" s="1"/>
  <c r="H47" i="2"/>
  <c r="I47" i="2"/>
  <c r="J47" i="2"/>
  <c r="A48" i="2"/>
  <c r="B48" i="2"/>
  <c r="C48" i="2" s="1"/>
  <c r="D48" i="2"/>
  <c r="E48" i="2" s="1"/>
  <c r="F48" i="2"/>
  <c r="G48" i="2" s="1"/>
  <c r="H48" i="2"/>
  <c r="I48" i="2"/>
  <c r="J48" i="2"/>
  <c r="A49" i="2"/>
  <c r="B49" i="2"/>
  <c r="C49" i="2" s="1"/>
  <c r="D49" i="2"/>
  <c r="E49" i="2" s="1"/>
  <c r="F49" i="2"/>
  <c r="G49" i="2" s="1"/>
  <c r="H49" i="2"/>
  <c r="I49" i="2"/>
  <c r="J49" i="2"/>
  <c r="A50" i="2"/>
  <c r="B50" i="2"/>
  <c r="C50" i="2" s="1"/>
  <c r="D50" i="2"/>
  <c r="E50" i="2" s="1"/>
  <c r="F50" i="2"/>
  <c r="G50" i="2" s="1"/>
  <c r="H50" i="2"/>
  <c r="I50" i="2"/>
  <c r="J50" i="2"/>
  <c r="A51" i="2"/>
  <c r="B51" i="2"/>
  <c r="C51" i="2" s="1"/>
  <c r="D51" i="2"/>
  <c r="E51" i="2" s="1"/>
  <c r="F51" i="2"/>
  <c r="G51" i="2" s="1"/>
  <c r="H51" i="2"/>
  <c r="I51" i="2"/>
  <c r="J51" i="2"/>
  <c r="A52" i="2"/>
  <c r="B52" i="2"/>
  <c r="C52" i="2" s="1"/>
  <c r="D52" i="2"/>
  <c r="E52" i="2" s="1"/>
  <c r="F52" i="2"/>
  <c r="G52" i="2" s="1"/>
  <c r="H52" i="2"/>
  <c r="I52" i="2"/>
  <c r="J52" i="2"/>
  <c r="A53" i="2"/>
  <c r="B53" i="2"/>
  <c r="C53" i="2" s="1"/>
  <c r="D53" i="2"/>
  <c r="E53" i="2" s="1"/>
  <c r="F53" i="2"/>
  <c r="G53" i="2" s="1"/>
  <c r="H53" i="2"/>
  <c r="I53" i="2"/>
  <c r="J53" i="2"/>
  <c r="A54" i="2"/>
  <c r="B54" i="2"/>
  <c r="C54" i="2" s="1"/>
  <c r="D54" i="2"/>
  <c r="E54" i="2" s="1"/>
  <c r="F54" i="2"/>
  <c r="G54" i="2" s="1"/>
  <c r="H54" i="2"/>
  <c r="I54" i="2"/>
  <c r="J54" i="2"/>
  <c r="A55" i="2"/>
  <c r="B55" i="2"/>
  <c r="C55" i="2" s="1"/>
  <c r="D55" i="2"/>
  <c r="E55" i="2" s="1"/>
  <c r="F55" i="2"/>
  <c r="G55" i="2" s="1"/>
  <c r="H55" i="2"/>
  <c r="I55" i="2"/>
  <c r="J55" i="2"/>
  <c r="A56" i="2"/>
  <c r="B56" i="2"/>
  <c r="C56" i="2" s="1"/>
  <c r="D56" i="2"/>
  <c r="E56" i="2" s="1"/>
  <c r="F56" i="2"/>
  <c r="G56" i="2" s="1"/>
  <c r="H56" i="2"/>
  <c r="I56" i="2"/>
  <c r="J56" i="2"/>
  <c r="A57" i="2"/>
  <c r="B57" i="2"/>
  <c r="C57" i="2" s="1"/>
  <c r="D57" i="2"/>
  <c r="E57" i="2" s="1"/>
  <c r="F57" i="2"/>
  <c r="G57" i="2" s="1"/>
  <c r="H57" i="2"/>
  <c r="I57" i="2"/>
  <c r="J57" i="2"/>
  <c r="A58" i="2"/>
  <c r="B58" i="2"/>
  <c r="C58" i="2" s="1"/>
  <c r="D58" i="2"/>
  <c r="E58" i="2" s="1"/>
  <c r="F58" i="2"/>
  <c r="G58" i="2" s="1"/>
  <c r="H58" i="2"/>
  <c r="I58" i="2"/>
  <c r="J58" i="2"/>
  <c r="A59" i="2"/>
  <c r="B59" i="2"/>
  <c r="C59" i="2" s="1"/>
  <c r="D59" i="2"/>
  <c r="E59" i="2" s="1"/>
  <c r="F59" i="2"/>
  <c r="G59" i="2" s="1"/>
  <c r="H59" i="2"/>
  <c r="I59" i="2"/>
  <c r="J59" i="2"/>
  <c r="A60" i="2"/>
  <c r="B60" i="2"/>
  <c r="C60" i="2" s="1"/>
  <c r="D60" i="2"/>
  <c r="E60" i="2" s="1"/>
  <c r="F60" i="2"/>
  <c r="G60" i="2" s="1"/>
  <c r="H60" i="2"/>
  <c r="I60" i="2"/>
  <c r="J60" i="2"/>
  <c r="A61" i="2"/>
  <c r="B61" i="2"/>
  <c r="C61" i="2" s="1"/>
  <c r="D61" i="2"/>
  <c r="E61" i="2" s="1"/>
  <c r="F61" i="2"/>
  <c r="G61" i="2" s="1"/>
  <c r="H61" i="2"/>
  <c r="I61" i="2"/>
  <c r="J61" i="2"/>
  <c r="A62" i="2"/>
  <c r="B62" i="2"/>
  <c r="C62" i="2" s="1"/>
  <c r="D62" i="2"/>
  <c r="E62" i="2" s="1"/>
  <c r="F62" i="2"/>
  <c r="G62" i="2" s="1"/>
  <c r="H62" i="2"/>
  <c r="I62" i="2"/>
  <c r="J62" i="2"/>
  <c r="A63" i="2"/>
  <c r="B63" i="2"/>
  <c r="C63" i="2" s="1"/>
  <c r="D63" i="2"/>
  <c r="E63" i="2" s="1"/>
  <c r="F63" i="2"/>
  <c r="G63" i="2" s="1"/>
  <c r="H63" i="2"/>
  <c r="I63" i="2"/>
  <c r="J63" i="2"/>
  <c r="A64" i="2"/>
  <c r="B64" i="2"/>
  <c r="C64" i="2" s="1"/>
  <c r="D64" i="2"/>
  <c r="E64" i="2" s="1"/>
  <c r="F64" i="2"/>
  <c r="G64" i="2" s="1"/>
  <c r="H64" i="2"/>
  <c r="I64" i="2"/>
  <c r="J64" i="2"/>
  <c r="A65" i="2"/>
  <c r="B65" i="2"/>
  <c r="C65" i="2" s="1"/>
  <c r="D65" i="2"/>
  <c r="E65" i="2" s="1"/>
  <c r="F65" i="2"/>
  <c r="G65" i="2" s="1"/>
  <c r="H65" i="2"/>
  <c r="I65" i="2"/>
  <c r="J65" i="2"/>
  <c r="A66" i="2"/>
  <c r="B66" i="2"/>
  <c r="C66" i="2" s="1"/>
  <c r="D66" i="2"/>
  <c r="E66" i="2" s="1"/>
  <c r="F66" i="2"/>
  <c r="G66" i="2" s="1"/>
  <c r="H66" i="2"/>
  <c r="I66" i="2"/>
  <c r="J66" i="2"/>
  <c r="A67" i="2"/>
  <c r="B67" i="2"/>
  <c r="C67" i="2" s="1"/>
  <c r="D67" i="2"/>
  <c r="E67" i="2" s="1"/>
  <c r="F67" i="2"/>
  <c r="G67" i="2" s="1"/>
  <c r="H67" i="2"/>
  <c r="I67" i="2"/>
  <c r="J67" i="2"/>
  <c r="A68" i="2"/>
  <c r="B68" i="2"/>
  <c r="C68" i="2" s="1"/>
  <c r="D68" i="2"/>
  <c r="E68" i="2" s="1"/>
  <c r="F68" i="2"/>
  <c r="G68" i="2" s="1"/>
  <c r="H68" i="2"/>
  <c r="I68" i="2"/>
  <c r="J68" i="2"/>
  <c r="A69" i="2"/>
  <c r="B69" i="2"/>
  <c r="C69" i="2" s="1"/>
  <c r="D69" i="2"/>
  <c r="E69" i="2" s="1"/>
  <c r="F69" i="2"/>
  <c r="G69" i="2" s="1"/>
  <c r="H69" i="2"/>
  <c r="I69" i="2"/>
  <c r="J69" i="2"/>
  <c r="A70" i="2"/>
  <c r="B70" i="2"/>
  <c r="C70" i="2" s="1"/>
  <c r="D70" i="2"/>
  <c r="E70" i="2" s="1"/>
  <c r="F70" i="2"/>
  <c r="G70" i="2" s="1"/>
  <c r="H70" i="2"/>
  <c r="I70" i="2"/>
  <c r="J70" i="2"/>
  <c r="A71" i="2"/>
  <c r="B71" i="2"/>
  <c r="C71" i="2" s="1"/>
  <c r="D71" i="2"/>
  <c r="E71" i="2" s="1"/>
  <c r="F71" i="2"/>
  <c r="G71" i="2" s="1"/>
  <c r="H71" i="2"/>
  <c r="I71" i="2"/>
  <c r="J71" i="2"/>
  <c r="A72" i="2"/>
  <c r="B72" i="2"/>
  <c r="C72" i="2" s="1"/>
  <c r="D72" i="2"/>
  <c r="E72" i="2" s="1"/>
  <c r="F72" i="2"/>
  <c r="G72" i="2" s="1"/>
  <c r="H72" i="2"/>
  <c r="I72" i="2"/>
  <c r="J72" i="2"/>
  <c r="A73" i="2"/>
  <c r="B73" i="2"/>
  <c r="C73" i="2" s="1"/>
  <c r="D73" i="2"/>
  <c r="E73" i="2" s="1"/>
  <c r="F73" i="2"/>
  <c r="G73" i="2" s="1"/>
  <c r="H73" i="2"/>
  <c r="I73" i="2"/>
  <c r="J73" i="2"/>
  <c r="A74" i="2"/>
  <c r="B74" i="2"/>
  <c r="C74" i="2" s="1"/>
  <c r="D74" i="2"/>
  <c r="E74" i="2" s="1"/>
  <c r="F74" i="2"/>
  <c r="G74" i="2" s="1"/>
  <c r="H74" i="2"/>
  <c r="I74" i="2"/>
  <c r="J74" i="2"/>
  <c r="A75" i="2"/>
  <c r="B75" i="2"/>
  <c r="C75" i="2" s="1"/>
  <c r="D75" i="2"/>
  <c r="E75" i="2" s="1"/>
  <c r="F75" i="2"/>
  <c r="G75" i="2" s="1"/>
  <c r="H75" i="2"/>
  <c r="I75" i="2"/>
  <c r="J75" i="2"/>
  <c r="A76" i="2"/>
  <c r="B76" i="2"/>
  <c r="C76" i="2" s="1"/>
  <c r="D76" i="2"/>
  <c r="E76" i="2" s="1"/>
  <c r="F76" i="2"/>
  <c r="G76" i="2" s="1"/>
  <c r="H76" i="2"/>
  <c r="I76" i="2"/>
  <c r="J76" i="2"/>
  <c r="A77" i="2"/>
  <c r="B77" i="2"/>
  <c r="C77" i="2" s="1"/>
  <c r="D77" i="2"/>
  <c r="E77" i="2" s="1"/>
  <c r="F77" i="2"/>
  <c r="G77" i="2" s="1"/>
  <c r="H77" i="2"/>
  <c r="I77" i="2"/>
  <c r="J77" i="2"/>
  <c r="A78" i="2"/>
  <c r="B78" i="2"/>
  <c r="C78" i="2" s="1"/>
  <c r="D78" i="2"/>
  <c r="E78" i="2" s="1"/>
  <c r="F78" i="2"/>
  <c r="G78" i="2" s="1"/>
  <c r="H78" i="2"/>
  <c r="I78" i="2"/>
  <c r="J78" i="2"/>
  <c r="A79" i="2"/>
  <c r="B79" i="2"/>
  <c r="C79" i="2" s="1"/>
  <c r="D79" i="2"/>
  <c r="E79" i="2" s="1"/>
  <c r="F79" i="2"/>
  <c r="G79" i="2" s="1"/>
  <c r="H79" i="2"/>
  <c r="I79" i="2"/>
  <c r="J79" i="2"/>
  <c r="A80" i="2"/>
  <c r="B80" i="2"/>
  <c r="C80" i="2" s="1"/>
  <c r="D80" i="2"/>
  <c r="E80" i="2" s="1"/>
  <c r="F80" i="2"/>
  <c r="G80" i="2" s="1"/>
  <c r="H80" i="2"/>
  <c r="I80" i="2"/>
  <c r="J80" i="2"/>
  <c r="A81" i="2"/>
  <c r="B81" i="2"/>
  <c r="C81" i="2" s="1"/>
  <c r="D81" i="2"/>
  <c r="E81" i="2" s="1"/>
  <c r="F81" i="2"/>
  <c r="G81" i="2" s="1"/>
  <c r="H81" i="2"/>
  <c r="I81" i="2"/>
  <c r="J81" i="2"/>
  <c r="A82" i="2"/>
  <c r="B82" i="2"/>
  <c r="C82" i="2" s="1"/>
  <c r="D82" i="2"/>
  <c r="E82" i="2" s="1"/>
  <c r="F82" i="2"/>
  <c r="G82" i="2" s="1"/>
  <c r="H82" i="2"/>
  <c r="I82" i="2"/>
  <c r="J82" i="2"/>
  <c r="A83" i="2"/>
  <c r="B83" i="2"/>
  <c r="C83" i="2" s="1"/>
  <c r="D83" i="2"/>
  <c r="E83" i="2" s="1"/>
  <c r="F83" i="2"/>
  <c r="G83" i="2" s="1"/>
  <c r="H83" i="2"/>
  <c r="I83" i="2"/>
  <c r="J83" i="2"/>
  <c r="A84" i="2"/>
  <c r="B84" i="2"/>
  <c r="C84" i="2" s="1"/>
  <c r="D84" i="2"/>
  <c r="E84" i="2" s="1"/>
  <c r="F84" i="2"/>
  <c r="G84" i="2" s="1"/>
  <c r="H84" i="2"/>
  <c r="I84" i="2"/>
  <c r="J84" i="2"/>
  <c r="A85" i="2"/>
  <c r="B85" i="2"/>
  <c r="C85" i="2" s="1"/>
  <c r="D85" i="2"/>
  <c r="E85" i="2" s="1"/>
  <c r="F85" i="2"/>
  <c r="G85" i="2" s="1"/>
  <c r="H85" i="2"/>
  <c r="I85" i="2"/>
  <c r="J85" i="2"/>
  <c r="A86" i="2"/>
  <c r="B86" i="2"/>
  <c r="C86" i="2" s="1"/>
  <c r="D86" i="2"/>
  <c r="E86" i="2" s="1"/>
  <c r="F86" i="2"/>
  <c r="G86" i="2" s="1"/>
  <c r="H86" i="2"/>
  <c r="I86" i="2"/>
  <c r="J86" i="2"/>
  <c r="A87" i="2"/>
  <c r="B87" i="2"/>
  <c r="C87" i="2" s="1"/>
  <c r="D87" i="2"/>
  <c r="E87" i="2" s="1"/>
  <c r="F87" i="2"/>
  <c r="G87" i="2" s="1"/>
  <c r="H87" i="2"/>
  <c r="I87" i="2"/>
  <c r="J87" i="2"/>
  <c r="A88" i="2"/>
  <c r="B88" i="2"/>
  <c r="C88" i="2" s="1"/>
  <c r="D88" i="2"/>
  <c r="E88" i="2" s="1"/>
  <c r="F88" i="2"/>
  <c r="G88" i="2" s="1"/>
  <c r="H88" i="2"/>
  <c r="I88" i="2"/>
  <c r="J88" i="2"/>
  <c r="A89" i="2"/>
  <c r="B89" i="2"/>
  <c r="C89" i="2" s="1"/>
  <c r="D89" i="2"/>
  <c r="E89" i="2" s="1"/>
  <c r="F89" i="2"/>
  <c r="G89" i="2" s="1"/>
  <c r="H89" i="2"/>
  <c r="I89" i="2"/>
  <c r="J89" i="2"/>
  <c r="A90" i="2"/>
  <c r="B90" i="2"/>
  <c r="C90" i="2" s="1"/>
  <c r="D90" i="2"/>
  <c r="E90" i="2" s="1"/>
  <c r="F90" i="2"/>
  <c r="G90" i="2" s="1"/>
  <c r="H90" i="2"/>
  <c r="I90" i="2"/>
  <c r="J90" i="2"/>
  <c r="A91" i="2"/>
  <c r="B91" i="2"/>
  <c r="C91" i="2" s="1"/>
  <c r="D91" i="2"/>
  <c r="E91" i="2" s="1"/>
  <c r="F91" i="2"/>
  <c r="G91" i="2" s="1"/>
  <c r="H91" i="2"/>
  <c r="I91" i="2"/>
  <c r="J91" i="2"/>
  <c r="A92" i="2"/>
  <c r="B92" i="2"/>
  <c r="C92" i="2" s="1"/>
  <c r="D92" i="2"/>
  <c r="E92" i="2" s="1"/>
  <c r="F92" i="2"/>
  <c r="G92" i="2" s="1"/>
  <c r="H92" i="2"/>
  <c r="I92" i="2"/>
  <c r="J92" i="2"/>
  <c r="A93" i="2"/>
  <c r="B93" i="2"/>
  <c r="C93" i="2" s="1"/>
  <c r="D93" i="2"/>
  <c r="E93" i="2" s="1"/>
  <c r="F93" i="2"/>
  <c r="G93" i="2" s="1"/>
  <c r="H93" i="2"/>
  <c r="I93" i="2"/>
  <c r="J93" i="2"/>
  <c r="A94" i="2"/>
  <c r="B94" i="2"/>
  <c r="C94" i="2" s="1"/>
  <c r="D94" i="2"/>
  <c r="E94" i="2" s="1"/>
  <c r="F94" i="2"/>
  <c r="G94" i="2" s="1"/>
  <c r="H94" i="2"/>
  <c r="I94" i="2"/>
  <c r="J94" i="2"/>
  <c r="A95" i="2"/>
  <c r="B95" i="2"/>
  <c r="C95" i="2" s="1"/>
  <c r="D95" i="2"/>
  <c r="E95" i="2" s="1"/>
  <c r="F95" i="2"/>
  <c r="G95" i="2" s="1"/>
  <c r="H95" i="2"/>
  <c r="I95" i="2"/>
  <c r="J95" i="2"/>
  <c r="A96" i="2"/>
  <c r="B96" i="2"/>
  <c r="C96" i="2" s="1"/>
  <c r="D96" i="2"/>
  <c r="E96" i="2"/>
  <c r="F96" i="2"/>
  <c r="G96" i="2" s="1"/>
  <c r="H96" i="2"/>
  <c r="I96" i="2"/>
  <c r="J96" i="2"/>
  <c r="A97" i="2"/>
  <c r="B97" i="2"/>
  <c r="C97" i="2" s="1"/>
  <c r="D97" i="2"/>
  <c r="E97" i="2" s="1"/>
  <c r="F97" i="2"/>
  <c r="G97" i="2" s="1"/>
  <c r="H97" i="2"/>
  <c r="I97" i="2"/>
  <c r="J97" i="2"/>
  <c r="A98" i="2"/>
  <c r="B98" i="2"/>
  <c r="C98" i="2" s="1"/>
  <c r="D98" i="2"/>
  <c r="E98" i="2" s="1"/>
  <c r="F98" i="2"/>
  <c r="G98" i="2" s="1"/>
  <c r="H98" i="2"/>
  <c r="I98" i="2"/>
  <c r="J98" i="2"/>
  <c r="K98" i="2" s="1"/>
  <c r="A41" i="2"/>
  <c r="B41" i="2"/>
  <c r="C41" i="2" s="1"/>
  <c r="D41" i="2"/>
  <c r="E41" i="2" s="1"/>
  <c r="F41" i="2"/>
  <c r="G41" i="2" s="1"/>
  <c r="H41" i="2"/>
  <c r="I41" i="2"/>
  <c r="J41" i="2"/>
  <c r="A42" i="2"/>
  <c r="B42" i="2"/>
  <c r="C42" i="2" s="1"/>
  <c r="D42" i="2"/>
  <c r="E42" i="2" s="1"/>
  <c r="F42" i="2"/>
  <c r="G42" i="2" s="1"/>
  <c r="H42" i="2"/>
  <c r="I42" i="2"/>
  <c r="J42" i="2"/>
  <c r="A43" i="2"/>
  <c r="B43" i="2"/>
  <c r="C43" i="2" s="1"/>
  <c r="D43" i="2"/>
  <c r="E43" i="2" s="1"/>
  <c r="F43" i="2"/>
  <c r="G43" i="2" s="1"/>
  <c r="H43" i="2"/>
  <c r="I43" i="2"/>
  <c r="J43" i="2"/>
  <c r="A44" i="2"/>
  <c r="B44" i="2"/>
  <c r="C44" i="2" s="1"/>
  <c r="D44" i="2"/>
  <c r="E44" i="2" s="1"/>
  <c r="F44" i="2"/>
  <c r="G44" i="2" s="1"/>
  <c r="H44" i="2"/>
  <c r="I44" i="2"/>
  <c r="J44" i="2"/>
  <c r="A37" i="2"/>
  <c r="B37" i="2"/>
  <c r="C37" i="2" s="1"/>
  <c r="D37" i="2"/>
  <c r="E37" i="2" s="1"/>
  <c r="F37" i="2"/>
  <c r="G37" i="2" s="1"/>
  <c r="H37" i="2"/>
  <c r="I37" i="2"/>
  <c r="J37" i="2"/>
  <c r="A38" i="2"/>
  <c r="B38" i="2"/>
  <c r="C38" i="2" s="1"/>
  <c r="D38" i="2"/>
  <c r="E38" i="2" s="1"/>
  <c r="F38" i="2"/>
  <c r="G38" i="2" s="1"/>
  <c r="H38" i="2"/>
  <c r="I38" i="2"/>
  <c r="J38" i="2"/>
  <c r="A39" i="2"/>
  <c r="B39" i="2"/>
  <c r="C39" i="2" s="1"/>
  <c r="D39" i="2"/>
  <c r="E39" i="2" s="1"/>
  <c r="F39" i="2"/>
  <c r="G39" i="2" s="1"/>
  <c r="H39" i="2"/>
  <c r="I39" i="2"/>
  <c r="J39" i="2"/>
  <c r="A40" i="2"/>
  <c r="B40" i="2"/>
  <c r="C40" i="2" s="1"/>
  <c r="D40" i="2"/>
  <c r="E40" i="2" s="1"/>
  <c r="F40" i="2"/>
  <c r="G40" i="2" s="1"/>
  <c r="H40" i="2"/>
  <c r="I40" i="2"/>
  <c r="J40" i="2"/>
  <c r="D11" i="2"/>
  <c r="D18" i="2"/>
  <c r="I3" i="2"/>
  <c r="K380" i="2" l="1"/>
  <c r="K315" i="2"/>
  <c r="K303" i="2"/>
  <c r="K278" i="2"/>
  <c r="K271" i="2"/>
  <c r="K232" i="2"/>
  <c r="K230" i="2"/>
  <c r="K389" i="2"/>
  <c r="K384" i="2"/>
  <c r="K379" i="2"/>
  <c r="K373" i="2"/>
  <c r="K269" i="2"/>
  <c r="K252" i="2"/>
  <c r="K213" i="2"/>
  <c r="K210" i="2"/>
  <c r="K196" i="2"/>
  <c r="K189" i="2"/>
  <c r="K170" i="2"/>
  <c r="K145" i="2"/>
  <c r="K137" i="2"/>
  <c r="K391" i="2"/>
  <c r="K382" i="2"/>
  <c r="K295" i="2"/>
  <c r="K251" i="2"/>
  <c r="K202" i="2"/>
  <c r="K151" i="2"/>
  <c r="K396" i="2"/>
  <c r="K393" i="2"/>
  <c r="K353" i="2"/>
  <c r="K350" i="2"/>
  <c r="K346" i="2"/>
  <c r="K340" i="2"/>
  <c r="K317" i="2"/>
  <c r="K304" i="2"/>
  <c r="K288" i="2"/>
  <c r="K285" i="2"/>
  <c r="K279" i="2"/>
  <c r="K267" i="2"/>
  <c r="K261" i="2"/>
  <c r="K254" i="2"/>
  <c r="K244" i="2"/>
  <c r="K237" i="2"/>
  <c r="K226" i="2"/>
  <c r="K208" i="2"/>
  <c r="K201" i="2"/>
  <c r="K191" i="2"/>
  <c r="K184" i="2"/>
  <c r="K178" i="2"/>
  <c r="K172" i="2"/>
  <c r="K106" i="2"/>
  <c r="K222" i="2"/>
  <c r="K156" i="2"/>
  <c r="K149" i="2"/>
  <c r="K356" i="2"/>
  <c r="K351" i="2"/>
  <c r="K327" i="2"/>
  <c r="K309" i="2"/>
  <c r="K273" i="2"/>
  <c r="K250" i="2"/>
  <c r="K233" i="2"/>
  <c r="K399" i="2"/>
  <c r="K392" i="2"/>
  <c r="K386" i="2"/>
  <c r="K362" i="2"/>
  <c r="K358" i="2"/>
  <c r="K341" i="2"/>
  <c r="K339" i="2"/>
  <c r="K292" i="2"/>
  <c r="K287" i="2"/>
  <c r="K268" i="2"/>
  <c r="K259" i="2"/>
  <c r="K235" i="2"/>
  <c r="K398" i="2"/>
  <c r="K375" i="2"/>
  <c r="K352" i="2"/>
  <c r="K338" i="2"/>
  <c r="K316" i="2"/>
  <c r="K306" i="2"/>
  <c r="K301" i="2"/>
  <c r="K289" i="2"/>
  <c r="K263" i="2"/>
  <c r="K370" i="2"/>
  <c r="K354" i="2"/>
  <c r="K342" i="2"/>
  <c r="K319" i="2"/>
  <c r="K313" i="2"/>
  <c r="K277" i="2"/>
  <c r="K274" i="2"/>
  <c r="K243" i="2"/>
  <c r="K198" i="2"/>
  <c r="K186" i="2"/>
  <c r="K171" i="2"/>
  <c r="K166" i="2"/>
  <c r="K337" i="2"/>
  <c r="K335" i="2"/>
  <c r="K333" i="2"/>
  <c r="K325" i="2"/>
  <c r="K320" i="2"/>
  <c r="K307" i="2"/>
  <c r="K299" i="2"/>
  <c r="K297" i="2"/>
  <c r="K276" i="2"/>
  <c r="K249" i="2"/>
  <c r="K245" i="2"/>
  <c r="K227" i="2"/>
  <c r="K224" i="2"/>
  <c r="K212" i="2"/>
  <c r="K200" i="2"/>
  <c r="K188" i="2"/>
  <c r="K179" i="2"/>
  <c r="K175" i="2"/>
  <c r="K168" i="2"/>
  <c r="K159" i="2"/>
  <c r="K155" i="2"/>
  <c r="K138" i="2"/>
  <c r="K241" i="2"/>
  <c r="K219" i="2"/>
  <c r="K207" i="2"/>
  <c r="K195" i="2"/>
  <c r="K183" i="2"/>
  <c r="K161" i="2"/>
  <c r="K134" i="2"/>
  <c r="K376" i="2"/>
  <c r="K367" i="2"/>
  <c r="K365" i="2"/>
  <c r="K361" i="2"/>
  <c r="K359" i="2"/>
  <c r="K336" i="2"/>
  <c r="K332" i="2"/>
  <c r="K328" i="2"/>
  <c r="K324" i="2"/>
  <c r="K310" i="2"/>
  <c r="K281" i="2"/>
  <c r="K265" i="2"/>
  <c r="K246" i="2"/>
  <c r="K240" i="2"/>
  <c r="K228" i="2"/>
  <c r="K218" i="2"/>
  <c r="K206" i="2"/>
  <c r="K194" i="2"/>
  <c r="K180" i="2"/>
  <c r="K167" i="2"/>
  <c r="K160" i="2"/>
  <c r="K147" i="2"/>
  <c r="K119" i="2"/>
  <c r="K93" i="2"/>
  <c r="K52" i="2"/>
  <c r="K81" i="2"/>
  <c r="K65" i="2"/>
  <c r="K132" i="2"/>
  <c r="K131" i="2"/>
  <c r="K111" i="2"/>
  <c r="K105" i="2"/>
  <c r="K74" i="2"/>
  <c r="K64" i="2"/>
  <c r="K39" i="2"/>
  <c r="K121" i="2"/>
  <c r="K104" i="2"/>
  <c r="K69" i="2"/>
  <c r="K116" i="2"/>
  <c r="K108" i="2"/>
  <c r="K94" i="2"/>
  <c r="K76" i="2"/>
  <c r="K107" i="2"/>
  <c r="K122" i="2"/>
  <c r="K117" i="2"/>
  <c r="K112" i="2"/>
  <c r="K101" i="2"/>
  <c r="K89" i="2"/>
  <c r="K86" i="2"/>
  <c r="K82" i="2"/>
  <c r="K56" i="2"/>
  <c r="K100" i="2"/>
  <c r="K57" i="2"/>
  <c r="K129" i="2"/>
  <c r="K124" i="2"/>
  <c r="K120" i="2"/>
  <c r="K123" i="2"/>
  <c r="K110" i="2"/>
  <c r="K102" i="2"/>
  <c r="K62" i="2"/>
  <c r="K118" i="2"/>
  <c r="K114" i="2"/>
  <c r="K41" i="2"/>
  <c r="K97" i="2"/>
  <c r="K95" i="2"/>
  <c r="K87" i="2"/>
  <c r="K50" i="2"/>
  <c r="K130" i="2"/>
  <c r="K126" i="2"/>
  <c r="K113" i="2"/>
  <c r="K103" i="2"/>
  <c r="K92" i="2"/>
  <c r="K85" i="2"/>
  <c r="K83" i="2"/>
  <c r="K75" i="2"/>
  <c r="K109" i="2"/>
  <c r="K88" i="2"/>
  <c r="K80" i="2"/>
  <c r="K73" i="2"/>
  <c r="K70" i="2"/>
  <c r="K58" i="2"/>
  <c r="K125" i="2"/>
  <c r="K115" i="2"/>
  <c r="K42" i="2"/>
  <c r="K71" i="2"/>
  <c r="K49" i="2"/>
  <c r="K47" i="2"/>
  <c r="K63" i="2"/>
  <c r="K68" i="2"/>
  <c r="K61" i="2"/>
  <c r="K51" i="2"/>
  <c r="K45" i="2"/>
  <c r="K46" i="2"/>
  <c r="K38" i="2"/>
  <c r="K344" i="2"/>
  <c r="K311" i="2"/>
  <c r="K293" i="2"/>
  <c r="K257" i="2"/>
  <c r="K381" i="2"/>
  <c r="K369" i="2"/>
  <c r="K357" i="2"/>
  <c r="K329" i="2"/>
  <c r="K239" i="2"/>
  <c r="K387" i="2"/>
  <c r="K308" i="2"/>
  <c r="K290" i="2"/>
  <c r="K275" i="2"/>
  <c r="K236" i="2"/>
  <c r="K363" i="2"/>
  <c r="K326" i="2"/>
  <c r="K242" i="2"/>
  <c r="K302" i="2"/>
  <c r="K266" i="2"/>
  <c r="K248" i="2"/>
  <c r="K127" i="2"/>
  <c r="K133" i="2"/>
  <c r="K223" i="2"/>
  <c r="K221" i="2"/>
  <c r="K217" i="2"/>
  <c r="K215" i="2"/>
  <c r="K211" i="2"/>
  <c r="K205" i="2"/>
  <c r="K203" i="2"/>
  <c r="K199" i="2"/>
  <c r="K197" i="2"/>
  <c r="K193" i="2"/>
  <c r="K187" i="2"/>
  <c r="K181" i="2"/>
  <c r="K43" i="2"/>
  <c r="K72" i="2"/>
  <c r="K60" i="2"/>
  <c r="K48" i="2"/>
  <c r="K37" i="2"/>
  <c r="K96" i="2"/>
  <c r="K84" i="2"/>
  <c r="K40" i="2"/>
  <c r="K44" i="2"/>
  <c r="K91" i="2"/>
  <c r="K79" i="2"/>
  <c r="K77" i="2"/>
  <c r="K67" i="2"/>
  <c r="K55" i="2"/>
  <c r="K53" i="2"/>
  <c r="K90" i="2"/>
  <c r="K78" i="2"/>
  <c r="K66" i="2"/>
  <c r="K59" i="2"/>
  <c r="K54" i="2"/>
  <c r="I9" i="2"/>
  <c r="A4" i="2"/>
  <c r="B4" i="2"/>
  <c r="C4" i="2" s="1"/>
  <c r="D4" i="2"/>
  <c r="E4" i="2" s="1"/>
  <c r="F4" i="2"/>
  <c r="G4" i="2" s="1"/>
  <c r="H4" i="2"/>
  <c r="I4" i="2"/>
  <c r="J4" i="2"/>
  <c r="A5" i="2"/>
  <c r="B5" i="2"/>
  <c r="C5" i="2" s="1"/>
  <c r="D5" i="2"/>
  <c r="E5" i="2" s="1"/>
  <c r="F5" i="2"/>
  <c r="G5" i="2" s="1"/>
  <c r="H5" i="2"/>
  <c r="I5" i="2"/>
  <c r="J5" i="2"/>
  <c r="A6" i="2"/>
  <c r="B6" i="2"/>
  <c r="C6" i="2" s="1"/>
  <c r="D6" i="2"/>
  <c r="E6" i="2" s="1"/>
  <c r="F6" i="2"/>
  <c r="G6" i="2" s="1"/>
  <c r="H6" i="2"/>
  <c r="I6" i="2"/>
  <c r="J6" i="2"/>
  <c r="A7" i="2"/>
  <c r="B7" i="2"/>
  <c r="C7" i="2" s="1"/>
  <c r="D7" i="2"/>
  <c r="E7" i="2" s="1"/>
  <c r="F7" i="2"/>
  <c r="G7" i="2" s="1"/>
  <c r="I7" i="2"/>
  <c r="J7" i="2"/>
  <c r="A8" i="2"/>
  <c r="B8" i="2"/>
  <c r="C8" i="2" s="1"/>
  <c r="D8" i="2"/>
  <c r="E8" i="2" s="1"/>
  <c r="F8" i="2"/>
  <c r="G8" i="2" s="1"/>
  <c r="H8" i="2"/>
  <c r="I8" i="2"/>
  <c r="J8" i="2"/>
  <c r="A9" i="2"/>
  <c r="B9" i="2"/>
  <c r="C9" i="2" s="1"/>
  <c r="D9" i="2"/>
  <c r="E9" i="2" s="1"/>
  <c r="F9" i="2"/>
  <c r="G9" i="2" s="1"/>
  <c r="H9" i="2"/>
  <c r="J9" i="2"/>
  <c r="A10" i="2"/>
  <c r="B10" i="2"/>
  <c r="C10" i="2" s="1"/>
  <c r="D10" i="2"/>
  <c r="E10" i="2" s="1"/>
  <c r="F10" i="2"/>
  <c r="G10" i="2" s="1"/>
  <c r="H10" i="2"/>
  <c r="I10" i="2"/>
  <c r="J10" i="2"/>
  <c r="A11" i="2"/>
  <c r="B11" i="2"/>
  <c r="C11" i="2" s="1"/>
  <c r="E11" i="2"/>
  <c r="F11" i="2"/>
  <c r="G11" i="2" s="1"/>
  <c r="H11" i="2"/>
  <c r="I11" i="2"/>
  <c r="J11" i="2"/>
  <c r="A12" i="2"/>
  <c r="B12" i="2"/>
  <c r="C12" i="2" s="1"/>
  <c r="D12" i="2"/>
  <c r="E12" i="2" s="1"/>
  <c r="F12" i="2"/>
  <c r="G12" i="2" s="1"/>
  <c r="H12" i="2"/>
  <c r="I12" i="2"/>
  <c r="J12" i="2"/>
  <c r="A13" i="2"/>
  <c r="B13" i="2"/>
  <c r="C13" i="2" s="1"/>
  <c r="D13" i="2"/>
  <c r="E13" i="2" s="1"/>
  <c r="F13" i="2"/>
  <c r="G13" i="2" s="1"/>
  <c r="H13" i="2"/>
  <c r="I13" i="2"/>
  <c r="J13" i="2"/>
  <c r="A14" i="2"/>
  <c r="B14" i="2"/>
  <c r="C14" i="2" s="1"/>
  <c r="D14" i="2"/>
  <c r="E14" i="2" s="1"/>
  <c r="F14" i="2"/>
  <c r="G14" i="2" s="1"/>
  <c r="H14" i="2"/>
  <c r="I14" i="2"/>
  <c r="J14" i="2"/>
  <c r="A15" i="2"/>
  <c r="B15" i="2"/>
  <c r="C15" i="2" s="1"/>
  <c r="D15" i="2"/>
  <c r="E15" i="2" s="1"/>
  <c r="F15" i="2"/>
  <c r="G15" i="2" s="1"/>
  <c r="H15" i="2"/>
  <c r="J15" i="2"/>
  <c r="A16" i="2"/>
  <c r="B16" i="2"/>
  <c r="C16" i="2" s="1"/>
  <c r="D16" i="2"/>
  <c r="E16" i="2" s="1"/>
  <c r="F16" i="2"/>
  <c r="G16" i="2" s="1"/>
  <c r="H16" i="2"/>
  <c r="I16" i="2"/>
  <c r="J16" i="2"/>
  <c r="A17" i="2"/>
  <c r="B17" i="2"/>
  <c r="C17" i="2" s="1"/>
  <c r="D17" i="2"/>
  <c r="E17" i="2" s="1"/>
  <c r="F17" i="2"/>
  <c r="G17" i="2" s="1"/>
  <c r="H17" i="2"/>
  <c r="I17" i="2"/>
  <c r="J17" i="2"/>
  <c r="A18" i="2"/>
  <c r="B18" i="2"/>
  <c r="C18" i="2" s="1"/>
  <c r="E18" i="2"/>
  <c r="F18" i="2"/>
  <c r="G18" i="2" s="1"/>
  <c r="H18" i="2"/>
  <c r="I18" i="2"/>
  <c r="J18" i="2"/>
  <c r="A19" i="2"/>
  <c r="B19" i="2"/>
  <c r="C19" i="2" s="1"/>
  <c r="D19" i="2"/>
  <c r="E19" i="2" s="1"/>
  <c r="F19" i="2"/>
  <c r="G19" i="2" s="1"/>
  <c r="H19" i="2"/>
  <c r="I19" i="2"/>
  <c r="J19" i="2"/>
  <c r="A20" i="2"/>
  <c r="B20" i="2"/>
  <c r="C20" i="2" s="1"/>
  <c r="D20" i="2"/>
  <c r="E20" i="2" s="1"/>
  <c r="F20" i="2"/>
  <c r="G20" i="2" s="1"/>
  <c r="H20" i="2"/>
  <c r="I20" i="2"/>
  <c r="J20" i="2"/>
  <c r="A21" i="2"/>
  <c r="B21" i="2"/>
  <c r="C21" i="2" s="1"/>
  <c r="D21" i="2"/>
  <c r="E21" i="2" s="1"/>
  <c r="F21" i="2"/>
  <c r="G21" i="2" s="1"/>
  <c r="H21" i="2"/>
  <c r="I21" i="2"/>
  <c r="J21" i="2"/>
  <c r="A22" i="2"/>
  <c r="B22" i="2"/>
  <c r="C22" i="2" s="1"/>
  <c r="D22" i="2"/>
  <c r="E22" i="2" s="1"/>
  <c r="F22" i="2"/>
  <c r="G22" i="2" s="1"/>
  <c r="H22" i="2"/>
  <c r="I22" i="2"/>
  <c r="J22" i="2"/>
  <c r="A23" i="2"/>
  <c r="B23" i="2"/>
  <c r="C23" i="2" s="1"/>
  <c r="D23" i="2"/>
  <c r="E23" i="2" s="1"/>
  <c r="F23" i="2"/>
  <c r="G23" i="2" s="1"/>
  <c r="H23" i="2"/>
  <c r="I23" i="2"/>
  <c r="J23" i="2"/>
  <c r="A24" i="2"/>
  <c r="B24" i="2"/>
  <c r="C24" i="2" s="1"/>
  <c r="D24" i="2"/>
  <c r="E24" i="2" s="1"/>
  <c r="F24" i="2"/>
  <c r="G24" i="2" s="1"/>
  <c r="H24" i="2"/>
  <c r="I24" i="2"/>
  <c r="J24" i="2"/>
  <c r="A25" i="2"/>
  <c r="B25" i="2"/>
  <c r="C25" i="2" s="1"/>
  <c r="D25" i="2"/>
  <c r="E25" i="2" s="1"/>
  <c r="F25" i="2"/>
  <c r="G25" i="2" s="1"/>
  <c r="H25" i="2"/>
  <c r="I25" i="2"/>
  <c r="J25" i="2"/>
  <c r="A26" i="2"/>
  <c r="B26" i="2"/>
  <c r="C26" i="2" s="1"/>
  <c r="D26" i="2"/>
  <c r="E26" i="2" s="1"/>
  <c r="F26" i="2"/>
  <c r="G26" i="2" s="1"/>
  <c r="H26" i="2"/>
  <c r="I26" i="2"/>
  <c r="J26" i="2"/>
  <c r="A27" i="2"/>
  <c r="B27" i="2"/>
  <c r="C27" i="2" s="1"/>
  <c r="D27" i="2"/>
  <c r="E27" i="2" s="1"/>
  <c r="F27" i="2"/>
  <c r="G27" i="2" s="1"/>
  <c r="H27" i="2"/>
  <c r="I27" i="2"/>
  <c r="J27" i="2"/>
  <c r="A28" i="2"/>
  <c r="B28" i="2"/>
  <c r="C28" i="2" s="1"/>
  <c r="D28" i="2"/>
  <c r="E28" i="2" s="1"/>
  <c r="F28" i="2"/>
  <c r="G28" i="2" s="1"/>
  <c r="H28" i="2"/>
  <c r="I28" i="2"/>
  <c r="J28" i="2"/>
  <c r="A29" i="2"/>
  <c r="B29" i="2"/>
  <c r="C29" i="2" s="1"/>
  <c r="D29" i="2"/>
  <c r="E29" i="2" s="1"/>
  <c r="F29" i="2"/>
  <c r="G29" i="2" s="1"/>
  <c r="H29" i="2"/>
  <c r="I29" i="2"/>
  <c r="J29" i="2"/>
  <c r="A30" i="2"/>
  <c r="B30" i="2"/>
  <c r="C30" i="2" s="1"/>
  <c r="D30" i="2"/>
  <c r="E30" i="2" s="1"/>
  <c r="F30" i="2"/>
  <c r="G30" i="2" s="1"/>
  <c r="H30" i="2"/>
  <c r="I30" i="2"/>
  <c r="J30" i="2"/>
  <c r="A31" i="2"/>
  <c r="B31" i="2"/>
  <c r="C31" i="2" s="1"/>
  <c r="D31" i="2"/>
  <c r="E31" i="2" s="1"/>
  <c r="F31" i="2"/>
  <c r="G31" i="2" s="1"/>
  <c r="H31" i="2"/>
  <c r="I31" i="2"/>
  <c r="J31" i="2"/>
  <c r="A32" i="2"/>
  <c r="B32" i="2"/>
  <c r="C32" i="2" s="1"/>
  <c r="D32" i="2"/>
  <c r="E32" i="2" s="1"/>
  <c r="F32" i="2"/>
  <c r="G32" i="2" s="1"/>
  <c r="H32" i="2"/>
  <c r="I32" i="2"/>
  <c r="J32" i="2"/>
  <c r="A33" i="2"/>
  <c r="B33" i="2"/>
  <c r="C33" i="2" s="1"/>
  <c r="D33" i="2"/>
  <c r="E33" i="2" s="1"/>
  <c r="F33" i="2"/>
  <c r="G33" i="2" s="1"/>
  <c r="H33" i="2"/>
  <c r="I33" i="2"/>
  <c r="J33" i="2"/>
  <c r="A34" i="2"/>
  <c r="B34" i="2"/>
  <c r="C34" i="2" s="1"/>
  <c r="D34" i="2"/>
  <c r="E34" i="2" s="1"/>
  <c r="F34" i="2"/>
  <c r="G34" i="2" s="1"/>
  <c r="H34" i="2"/>
  <c r="I34" i="2"/>
  <c r="J34" i="2"/>
  <c r="A35" i="2"/>
  <c r="B35" i="2"/>
  <c r="C35" i="2" s="1"/>
  <c r="D35" i="2"/>
  <c r="E35" i="2" s="1"/>
  <c r="F35" i="2"/>
  <c r="G35" i="2" s="1"/>
  <c r="H35" i="2"/>
  <c r="I35" i="2"/>
  <c r="J35" i="2"/>
  <c r="A36" i="2"/>
  <c r="B36" i="2"/>
  <c r="C36" i="2" s="1"/>
  <c r="D36" i="2"/>
  <c r="E36" i="2" s="1"/>
  <c r="F36" i="2"/>
  <c r="G36" i="2" s="1"/>
  <c r="H36" i="2"/>
  <c r="I36" i="2"/>
  <c r="J36" i="2"/>
  <c r="K16" i="2" l="1"/>
  <c r="K35" i="2"/>
  <c r="K32" i="2"/>
  <c r="K29" i="2"/>
  <c r="K31" i="2"/>
  <c r="K28" i="2"/>
  <c r="K33" i="2"/>
  <c r="K27" i="2"/>
  <c r="K36" i="2"/>
  <c r="K25" i="2"/>
  <c r="K30" i="2"/>
  <c r="K34" i="2"/>
  <c r="K8" i="2"/>
  <c r="K26" i="2"/>
  <c r="K24" i="2"/>
  <c r="K15" i="2"/>
  <c r="K9" i="2"/>
  <c r="K11" i="2"/>
  <c r="K5" i="2"/>
  <c r="K19" i="2"/>
  <c r="K14" i="2"/>
  <c r="K7" i="2"/>
  <c r="K12" i="2"/>
  <c r="K6" i="2"/>
  <c r="K4" i="2"/>
  <c r="K21" i="2"/>
  <c r="K22" i="2"/>
  <c r="K20" i="2"/>
  <c r="K18" i="2"/>
  <c r="K17" i="2"/>
  <c r="K13" i="2"/>
  <c r="K10" i="2"/>
  <c r="K23" i="2"/>
  <c r="A3" i="2"/>
  <c r="J3" i="2" l="1"/>
  <c r="I1" i="2" l="1"/>
  <c r="K3" i="2"/>
  <c r="H3" i="2"/>
  <c r="F3" i="2"/>
  <c r="G3" i="2" s="1"/>
  <c r="D3" i="2"/>
  <c r="E3" i="2" s="1"/>
  <c r="B3" i="2"/>
  <c r="C3" i="2" s="1"/>
  <c r="K1" i="2" l="1"/>
</calcChain>
</file>

<file path=xl/sharedStrings.xml><?xml version="1.0" encoding="utf-8"?>
<sst xmlns="http://schemas.openxmlformats.org/spreadsheetml/2006/main" count="259" uniqueCount="118">
  <si>
    <t>상품명</t>
  </si>
  <si>
    <t>발주일자</t>
  </si>
  <si>
    <t>점포명</t>
  </si>
  <si>
    <t>점포코드</t>
    <phoneticPr fontId="141" type="noConversion"/>
  </si>
  <si>
    <t>점포명</t>
    <phoneticPr fontId="141" type="noConversion"/>
  </si>
  <si>
    <t xml:space="preserve">배송코드 </t>
    <phoneticPr fontId="141" type="noConversion"/>
  </si>
  <si>
    <t>바코드</t>
    <phoneticPr fontId="141" type="noConversion"/>
  </si>
  <si>
    <t>상품명</t>
    <phoneticPr fontId="141" type="noConversion"/>
  </si>
  <si>
    <t>MECODE</t>
    <phoneticPr fontId="141" type="noConversion"/>
  </si>
  <si>
    <t>수량</t>
  </si>
  <si>
    <t>발주금액</t>
  </si>
  <si>
    <t>바코드</t>
    <phoneticPr fontId="145" type="noConversion"/>
  </si>
  <si>
    <t>제품코드</t>
    <phoneticPr fontId="145" type="noConversion"/>
  </si>
  <si>
    <t>상품명</t>
    <phoneticPr fontId="145" type="noConversion"/>
  </si>
  <si>
    <t>원가</t>
  </si>
  <si>
    <t>점포명</t>
    <phoneticPr fontId="139" type="noConversion"/>
  </si>
  <si>
    <t>점포코드</t>
    <phoneticPr fontId="139" type="noConversion"/>
  </si>
  <si>
    <t>주문서</t>
  </si>
  <si>
    <t>배달일시</t>
  </si>
  <si>
    <t>문서번호</t>
  </si>
  <si>
    <t>발주번호</t>
  </si>
  <si>
    <t>발주타입</t>
  </si>
  <si>
    <t>납품일자</t>
  </si>
  <si>
    <t>주문자</t>
  </si>
  <si>
    <t>도크정보</t>
  </si>
  <si>
    <t>납품처</t>
  </si>
  <si>
    <t>공급자</t>
  </si>
  <si>
    <t>상품코드</t>
  </si>
  <si>
    <t>배송처</t>
  </si>
  <si>
    <t>입수</t>
  </si>
  <si>
    <t>발주량</t>
  </si>
  <si>
    <t>낱개수량</t>
  </si>
  <si>
    <t>단위</t>
  </si>
  <si>
    <t>발주단가</t>
  </si>
  <si>
    <t>세액</t>
  </si>
  <si>
    <t>배송처코드</t>
  </si>
  <si>
    <t>발주일</t>
  </si>
  <si>
    <t>입고일</t>
  </si>
  <si>
    <t>납품처코드</t>
  </si>
  <si>
    <t>VV08 (주)지에스리테일(라인중부)</t>
  </si>
  <si>
    <t>맨소레담)스프레이파스180ML</t>
  </si>
  <si>
    <t>VV24 (주)지에스리테일(세윤CVS)</t>
  </si>
  <si>
    <t>맨소레담)스프레이파스레드</t>
  </si>
  <si>
    <t>VV06 (주)지에스리테일(라인물류)</t>
  </si>
  <si>
    <t>VA06 (주)지에스리테일제주센터</t>
  </si>
  <si>
    <t>ME00421300</t>
    <phoneticPr fontId="139" type="noConversion"/>
  </si>
  <si>
    <t>발주단가</t>
    <phoneticPr fontId="139" type="noConversion"/>
  </si>
  <si>
    <t>주문자코드</t>
  </si>
  <si>
    <t>맨소래담)딥앤쿨 스프레이 150ml*16입</t>
    <phoneticPr fontId="139" type="noConversion"/>
  </si>
  <si>
    <t>VV56 (주)지에스리테일(세윤제주)</t>
  </si>
  <si>
    <t>VV59 (주)지에스리테일엠투엠광주</t>
  </si>
  <si>
    <t>VV61 ㈜지에스리테일엠투엠경산</t>
  </si>
  <si>
    <t>㈜지에스리테일 (GS25 인천도화물류)</t>
  </si>
  <si>
    <t>ME90621A01</t>
  </si>
  <si>
    <t>아크네스 포밍워시 200ml (인케이스)</t>
  </si>
  <si>
    <t xml:space="preserve">아크네스 스팟 클리어 젤 18g </t>
  </si>
  <si>
    <t>ME00621AML</t>
  </si>
  <si>
    <t>아크네스 모이스처 로션 120ml</t>
  </si>
  <si>
    <t>ME00621AT6</t>
  </si>
  <si>
    <t>ME90621A06</t>
  </si>
  <si>
    <t>아크네스 데일리 딥 클렌저(6입)</t>
  </si>
  <si>
    <t>멘소래담)롤온로션50ML</t>
  </si>
  <si>
    <r>
      <t>5</t>
    </r>
    <r>
      <rPr>
        <sz val="10"/>
        <color theme="1"/>
        <rFont val="맑은 고딕"/>
        <family val="2"/>
        <charset val="129"/>
        <scheme val="minor"/>
      </rPr>
      <t>/25 발주추가</t>
    </r>
    <phoneticPr fontId="139" type="noConversion"/>
  </si>
  <si>
    <t>소프트립스프렌치바닐라립밤</t>
  </si>
  <si>
    <t>ME81921SSV</t>
  </si>
  <si>
    <r>
      <t>1</t>
    </r>
    <r>
      <rPr>
        <sz val="10"/>
        <color theme="1"/>
        <rFont val="맑은 고딕"/>
        <family val="2"/>
        <charset val="129"/>
        <scheme val="minor"/>
      </rPr>
      <t>0월</t>
    </r>
    <phoneticPr fontId="139" type="noConversion"/>
  </si>
  <si>
    <t>납품일자</t>
    <phoneticPr fontId="139" type="noConversion"/>
  </si>
  <si>
    <t>ME81921SRR</t>
  </si>
  <si>
    <t>소프트립스 라즈베리 립밤 (48입)</t>
  </si>
  <si>
    <t>VV73 (주)지에스리테일(라인물류2</t>
  </si>
  <si>
    <t>ME00421185</t>
  </si>
  <si>
    <t>입수량</t>
  </si>
  <si>
    <t>화주LOT</t>
  </si>
  <si>
    <t>유효일자</t>
  </si>
  <si>
    <t>멘소래담 스프레이 쿨 180mL 16입 (New 2021)</t>
  </si>
  <si>
    <t>MC22-04</t>
  </si>
  <si>
    <t>스프레이 쿨 지정 lot</t>
    <phoneticPr fontId="139" type="noConversion"/>
  </si>
  <si>
    <t>ME80421DRD</t>
    <phoneticPr fontId="139" type="noConversion"/>
  </si>
  <si>
    <t>아크네스 퍼펙트 솔루션 스팟 패치 18매(40입)</t>
    <phoneticPr fontId="139" type="noConversion"/>
  </si>
  <si>
    <t>ME00621CCP</t>
    <phoneticPr fontId="139" type="noConversion"/>
  </si>
  <si>
    <t>아크네스)포맨올인원로션150ML</t>
  </si>
  <si>
    <t>ME00621FCC</t>
    <phoneticPr fontId="139" type="noConversion"/>
  </si>
  <si>
    <t xml:space="preserve">립아이스 틴티드 컬러 레드 (2022) </t>
    <phoneticPr fontId="139" type="noConversion"/>
  </si>
  <si>
    <t>정상</t>
  </si>
  <si>
    <t>GS편의점/</t>
  </si>
  <si>
    <t>PV1243001 한국멘소레담(주)</t>
  </si>
  <si>
    <t>EA</t>
  </si>
  <si>
    <t>VA82 지에스리테일고촌비식품</t>
  </si>
  <si>
    <t>ME00421150</t>
    <phoneticPr fontId="139" type="noConversion"/>
  </si>
  <si>
    <t>VV06</t>
  </si>
  <si>
    <t>(주)지에스리테일(라인물류)</t>
  </si>
  <si>
    <t>VV73</t>
  </si>
  <si>
    <t>(주)지에스리테일(라인물류2</t>
  </si>
  <si>
    <t>멘소래담)스프레이쿨타입180ML</t>
  </si>
  <si>
    <t>ME90521LT7</t>
    <phoneticPr fontId="139" type="noConversion"/>
  </si>
  <si>
    <t>VV08</t>
  </si>
  <si>
    <t>(주)지에스리테일(라인중부)</t>
  </si>
  <si>
    <t>멘소래담)딥앤쿨스프레이150ML</t>
  </si>
  <si>
    <t>멘소래담)스프레이핫타입180ML</t>
  </si>
  <si>
    <t>아크네스)퍼펙트스팟패치(18매)</t>
  </si>
  <si>
    <t>VV730324V000410536</t>
  </si>
  <si>
    <t>V000410536</t>
  </si>
  <si>
    <t>VV610324V000369120</t>
  </si>
  <si>
    <t>V000369120</t>
  </si>
  <si>
    <t>VV61</t>
  </si>
  <si>
    <t>㈜지에스리테일엠투엠경산</t>
  </si>
  <si>
    <t>VV590324V000357581</t>
  </si>
  <si>
    <t>V000357581</t>
  </si>
  <si>
    <t>VV59</t>
  </si>
  <si>
    <t>(주)지에스리테일엠투엠광주</t>
  </si>
  <si>
    <t>VV240324V000895851</t>
  </si>
  <si>
    <t>V000895851</t>
  </si>
  <si>
    <t>VV24</t>
  </si>
  <si>
    <t>(주)지에스리테일(세윤CVS)</t>
  </si>
  <si>
    <t>VV080324V000749051</t>
  </si>
  <si>
    <t>V000749051</t>
  </si>
  <si>
    <t>VV060324V002033342</t>
  </si>
  <si>
    <t>V002033342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</si>
</sst>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0_);[Red]\(0\)"/>
    <numFmt numFmtId="177" formatCode="0_ "/>
    <numFmt numFmtId="178" formatCode="_-* #,##0_-;\-* #,##0_-;_-* &quot;-&quot;?_-;_-@_-"/>
    <numFmt numFmtId="179" formatCode="yyyymmdd"/>
    <numFmt numFmtId="180" formatCode="#,###"/>
  </numFmts>
  <fonts count="188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나눔스퀘어라운드 Regular"/>
      <family val="2"/>
      <charset val="129"/>
    </font>
    <font>
      <sz val="10"/>
      <color theme="1"/>
      <name val="나눔스퀘어라운드 Regular"/>
      <family val="2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9"/>
      <name val="맑은 고딕"/>
      <family val="3"/>
      <charset val="129"/>
      <scheme val="major"/>
    </font>
    <font>
      <sz val="8"/>
      <name val="돋움"/>
      <family val="3"/>
      <charset val="129"/>
    </font>
    <font>
      <sz val="9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indexed="8"/>
      <name val="맑은 고딕"/>
      <family val="2"/>
      <scheme val="minor"/>
    </font>
    <font>
      <sz val="10"/>
      <color indexed="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sz val="9"/>
      <color theme="1"/>
      <name val="맑은 고딕"/>
      <family val="3"/>
      <charset val="129"/>
      <scheme val="maj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0"/>
      <color rgb="FF006100"/>
      <name val="맑은 고딕"/>
      <family val="2"/>
      <charset val="129"/>
      <scheme val="minor"/>
    </font>
    <font>
      <sz val="10"/>
      <color rgb="FF9C0006"/>
      <name val="맑은 고딕"/>
      <family val="2"/>
      <charset val="129"/>
      <scheme val="minor"/>
    </font>
    <font>
      <sz val="10"/>
      <color rgb="FF9C6500"/>
      <name val="맑은 고딕"/>
      <family val="2"/>
      <charset val="129"/>
      <scheme val="minor"/>
    </font>
    <font>
      <sz val="10"/>
      <color rgb="FF3F3F76"/>
      <name val="맑은 고딕"/>
      <family val="2"/>
      <charset val="129"/>
      <scheme val="minor"/>
    </font>
    <font>
      <b/>
      <sz val="10"/>
      <color rgb="FF3F3F3F"/>
      <name val="맑은 고딕"/>
      <family val="2"/>
      <charset val="129"/>
      <scheme val="minor"/>
    </font>
    <font>
      <b/>
      <sz val="10"/>
      <color rgb="FFFA7D00"/>
      <name val="맑은 고딕"/>
      <family val="2"/>
      <charset val="129"/>
      <scheme val="minor"/>
    </font>
    <font>
      <sz val="10"/>
      <color rgb="FFFA7D00"/>
      <name val="맑은 고딕"/>
      <family val="2"/>
      <charset val="129"/>
      <scheme val="minor"/>
    </font>
    <font>
      <b/>
      <sz val="10"/>
      <color theme="0"/>
      <name val="맑은 고딕"/>
      <family val="2"/>
      <charset val="129"/>
      <scheme val="minor"/>
    </font>
    <font>
      <sz val="10"/>
      <color rgb="FFFF0000"/>
      <name val="맑은 고딕"/>
      <family val="2"/>
      <charset val="129"/>
      <scheme val="minor"/>
    </font>
    <font>
      <i/>
      <sz val="10"/>
      <color rgb="FF7F7F7F"/>
      <name val="맑은 고딕"/>
      <family val="2"/>
      <charset val="129"/>
      <scheme val="minor"/>
    </font>
    <font>
      <b/>
      <sz val="10"/>
      <color theme="1"/>
      <name val="맑은 고딕"/>
      <family val="2"/>
      <charset val="129"/>
      <scheme val="minor"/>
    </font>
    <font>
      <sz val="10"/>
      <color theme="0"/>
      <name val="맑은 고딕"/>
      <family val="2"/>
      <charset val="129"/>
      <scheme val="minor"/>
    </font>
    <font>
      <b/>
      <sz val="13.5"/>
      <color theme="1"/>
      <name val="맑은 고딕"/>
      <family val="3"/>
      <charset val="129"/>
    </font>
    <font>
      <b/>
      <sz val="9"/>
      <color theme="0"/>
      <name val="맑은 고딕"/>
      <family val="3"/>
      <charset val="129"/>
      <scheme val="maj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name val="맑은 고딕"/>
      <family val="3"/>
      <charset val="129"/>
    </font>
    <font>
      <sz val="11"/>
      <color rgb="FF0081BF"/>
      <name val="맑은 고딕"/>
      <family val="2"/>
      <charset val="129"/>
      <scheme val="minor"/>
    </font>
    <font>
      <sz val="9"/>
      <color theme="1" tint="0.249977111117893"/>
      <name val="나눔고딕"/>
      <family val="3"/>
    </font>
    <font>
      <sz val="9"/>
      <color theme="1" tint="0.249977111117893"/>
      <name val="나눔고딕"/>
      <family val="3"/>
      <charset val="129"/>
    </font>
    <font>
      <sz val="9"/>
      <color rgb="FFFF0000"/>
      <name val="맑은 고딕"/>
      <family val="3"/>
      <charset val="129"/>
      <scheme val="major"/>
    </font>
  </fonts>
  <fills count="4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BBBBBB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2723">
    <xf numFmtId="0" fontId="0" fillId="0" borderId="0">
      <alignment vertical="center"/>
    </xf>
    <xf numFmtId="0" fontId="138" fillId="0" borderId="0">
      <alignment vertical="center"/>
    </xf>
    <xf numFmtId="41" fontId="138" fillId="0" borderId="0" applyFont="0" applyFill="0" applyBorder="0" applyAlignment="0" applyProtection="0">
      <alignment vertical="center"/>
    </xf>
    <xf numFmtId="0" fontId="153" fillId="0" borderId="0" applyNumberFormat="0" applyFill="0" applyBorder="0" applyAlignment="0" applyProtection="0">
      <alignment vertical="center"/>
    </xf>
    <xf numFmtId="0" fontId="154" fillId="0" borderId="6" applyNumberFormat="0" applyFill="0" applyAlignment="0" applyProtection="0">
      <alignment vertical="center"/>
    </xf>
    <xf numFmtId="0" fontId="155" fillId="0" borderId="7" applyNumberFormat="0" applyFill="0" applyAlignment="0" applyProtection="0">
      <alignment vertical="center"/>
    </xf>
    <xf numFmtId="0" fontId="156" fillId="0" borderId="8" applyNumberFormat="0" applyFill="0" applyAlignment="0" applyProtection="0">
      <alignment vertical="center"/>
    </xf>
    <xf numFmtId="0" fontId="156" fillId="0" borderId="0" applyNumberFormat="0" applyFill="0" applyBorder="0" applyAlignment="0" applyProtection="0">
      <alignment vertical="center"/>
    </xf>
    <xf numFmtId="0" fontId="157" fillId="7" borderId="0" applyNumberFormat="0" applyBorder="0" applyAlignment="0" applyProtection="0">
      <alignment vertical="center"/>
    </xf>
    <xf numFmtId="0" fontId="158" fillId="8" borderId="0" applyNumberFormat="0" applyBorder="0" applyAlignment="0" applyProtection="0">
      <alignment vertical="center"/>
    </xf>
    <xf numFmtId="0" fontId="159" fillId="9" borderId="0" applyNumberFormat="0" applyBorder="0" applyAlignment="0" applyProtection="0">
      <alignment vertical="center"/>
    </xf>
    <xf numFmtId="0" fontId="160" fillId="10" borderId="9" applyNumberFormat="0" applyAlignment="0" applyProtection="0">
      <alignment vertical="center"/>
    </xf>
    <xf numFmtId="0" fontId="161" fillId="11" borderId="10" applyNumberFormat="0" applyAlignment="0" applyProtection="0">
      <alignment vertical="center"/>
    </xf>
    <xf numFmtId="0" fontId="162" fillId="11" borderId="9" applyNumberFormat="0" applyAlignment="0" applyProtection="0">
      <alignment vertical="center"/>
    </xf>
    <xf numFmtId="0" fontId="163" fillId="0" borderId="11" applyNumberFormat="0" applyFill="0" applyAlignment="0" applyProtection="0">
      <alignment vertical="center"/>
    </xf>
    <xf numFmtId="0" fontId="164" fillId="12" borderId="12" applyNumberFormat="0" applyAlignment="0" applyProtection="0">
      <alignment vertical="center"/>
    </xf>
    <xf numFmtId="0" fontId="165" fillId="0" borderId="0" applyNumberFormat="0" applyFill="0" applyBorder="0" applyAlignment="0" applyProtection="0">
      <alignment vertical="center"/>
    </xf>
    <xf numFmtId="0" fontId="166" fillId="0" borderId="0" applyNumberFormat="0" applyFill="0" applyBorder="0" applyAlignment="0" applyProtection="0">
      <alignment vertical="center"/>
    </xf>
    <xf numFmtId="0" fontId="167" fillId="0" borderId="14" applyNumberFormat="0" applyFill="0" applyAlignment="0" applyProtection="0">
      <alignment vertical="center"/>
    </xf>
    <xf numFmtId="0" fontId="168" fillId="14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68" fillId="17" borderId="0" applyNumberFormat="0" applyBorder="0" applyAlignment="0" applyProtection="0">
      <alignment vertical="center"/>
    </xf>
    <xf numFmtId="0" fontId="168" fillId="18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68" fillId="21" borderId="0" applyNumberFormat="0" applyBorder="0" applyAlignment="0" applyProtection="0">
      <alignment vertical="center"/>
    </xf>
    <xf numFmtId="0" fontId="168" fillId="22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68" fillId="25" borderId="0" applyNumberFormat="0" applyBorder="0" applyAlignment="0" applyProtection="0">
      <alignment vertical="center"/>
    </xf>
    <xf numFmtId="0" fontId="168" fillId="26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68" fillId="29" borderId="0" applyNumberFormat="0" applyBorder="0" applyAlignment="0" applyProtection="0">
      <alignment vertical="center"/>
    </xf>
    <xf numFmtId="0" fontId="168" fillId="30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68" fillId="33" borderId="0" applyNumberFormat="0" applyBorder="0" applyAlignment="0" applyProtection="0">
      <alignment vertical="center"/>
    </xf>
    <xf numFmtId="0" fontId="168" fillId="34" borderId="0" applyNumberFormat="0" applyBorder="0" applyAlignment="0" applyProtection="0">
      <alignment vertical="center"/>
    </xf>
    <xf numFmtId="0" fontId="137" fillId="35" borderId="0" applyNumberFormat="0" applyBorder="0" applyAlignment="0" applyProtection="0">
      <alignment vertical="center"/>
    </xf>
    <xf numFmtId="0" fontId="137" fillId="36" borderId="0" applyNumberFormat="0" applyBorder="0" applyAlignment="0" applyProtection="0">
      <alignment vertical="center"/>
    </xf>
    <xf numFmtId="0" fontId="168" fillId="37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13" borderId="13" applyNumberFormat="0" applyFont="0" applyAlignment="0" applyProtection="0">
      <alignment vertical="center"/>
    </xf>
    <xf numFmtId="0" fontId="136" fillId="0" borderId="0">
      <alignment vertical="center"/>
    </xf>
    <xf numFmtId="0" fontId="136" fillId="13" borderId="13" applyNumberFormat="0" applyFont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6" fillId="35" borderId="0" applyNumberFormat="0" applyBorder="0" applyAlignment="0" applyProtection="0">
      <alignment vertical="center"/>
    </xf>
    <xf numFmtId="0" fontId="136" fillId="36" borderId="0" applyNumberFormat="0" applyBorder="0" applyAlignment="0" applyProtection="0">
      <alignment vertical="center"/>
    </xf>
    <xf numFmtId="0" fontId="135" fillId="0" borderId="0">
      <alignment vertical="center"/>
    </xf>
    <xf numFmtId="0" fontId="171" fillId="7" borderId="0" applyNumberFormat="0" applyBorder="0" applyAlignment="0" applyProtection="0">
      <alignment vertical="center"/>
    </xf>
    <xf numFmtId="0" fontId="172" fillId="8" borderId="0" applyNumberFormat="0" applyBorder="0" applyAlignment="0" applyProtection="0">
      <alignment vertical="center"/>
    </xf>
    <xf numFmtId="0" fontId="173" fillId="9" borderId="0" applyNumberFormat="0" applyBorder="0" applyAlignment="0" applyProtection="0">
      <alignment vertical="center"/>
    </xf>
    <xf numFmtId="0" fontId="174" fillId="10" borderId="9" applyNumberFormat="0" applyAlignment="0" applyProtection="0">
      <alignment vertical="center"/>
    </xf>
    <xf numFmtId="0" fontId="175" fillId="11" borderId="10" applyNumberFormat="0" applyAlignment="0" applyProtection="0">
      <alignment vertical="center"/>
    </xf>
    <xf numFmtId="0" fontId="176" fillId="11" borderId="9" applyNumberFormat="0" applyAlignment="0" applyProtection="0">
      <alignment vertical="center"/>
    </xf>
    <xf numFmtId="0" fontId="177" fillId="0" borderId="11" applyNumberFormat="0" applyFill="0" applyAlignment="0" applyProtection="0">
      <alignment vertical="center"/>
    </xf>
    <xf numFmtId="0" fontId="178" fillId="12" borderId="12" applyNumberFormat="0" applyAlignment="0" applyProtection="0">
      <alignment vertical="center"/>
    </xf>
    <xf numFmtId="0" fontId="179" fillId="0" borderId="0" applyNumberFormat="0" applyFill="0" applyBorder="0" applyAlignment="0" applyProtection="0">
      <alignment vertical="center"/>
    </xf>
    <xf numFmtId="0" fontId="135" fillId="13" borderId="13" applyNumberFormat="0" applyFont="0" applyAlignment="0" applyProtection="0">
      <alignment vertical="center"/>
    </xf>
    <xf numFmtId="0" fontId="180" fillId="0" borderId="0" applyNumberFormat="0" applyFill="0" applyBorder="0" applyAlignment="0" applyProtection="0">
      <alignment vertical="center"/>
    </xf>
    <xf numFmtId="0" fontId="181" fillId="0" borderId="14" applyNumberFormat="0" applyFill="0" applyAlignment="0" applyProtection="0">
      <alignment vertical="center"/>
    </xf>
    <xf numFmtId="0" fontId="182" fillId="14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7" borderId="0" applyNumberFormat="0" applyBorder="0" applyAlignment="0" applyProtection="0">
      <alignment vertical="center"/>
    </xf>
    <xf numFmtId="0" fontId="182" fillId="18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1" borderId="0" applyNumberFormat="0" applyBorder="0" applyAlignment="0" applyProtection="0">
      <alignment vertical="center"/>
    </xf>
    <xf numFmtId="0" fontId="182" fillId="22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5" borderId="0" applyNumberFormat="0" applyBorder="0" applyAlignment="0" applyProtection="0">
      <alignment vertical="center"/>
    </xf>
    <xf numFmtId="0" fontId="182" fillId="26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29" borderId="0" applyNumberFormat="0" applyBorder="0" applyAlignment="0" applyProtection="0">
      <alignment vertical="center"/>
    </xf>
    <xf numFmtId="0" fontId="182" fillId="30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5" fillId="33" borderId="0" applyNumberFormat="0" applyBorder="0" applyAlignment="0" applyProtection="0">
      <alignment vertical="center"/>
    </xf>
    <xf numFmtId="0" fontId="182" fillId="34" borderId="0" applyNumberFormat="0" applyBorder="0" applyAlignment="0" applyProtection="0">
      <alignment vertical="center"/>
    </xf>
    <xf numFmtId="0" fontId="135" fillId="35" borderId="0" applyNumberFormat="0" applyBorder="0" applyAlignment="0" applyProtection="0">
      <alignment vertical="center"/>
    </xf>
    <xf numFmtId="0" fontId="135" fillId="36" borderId="0" applyNumberFormat="0" applyBorder="0" applyAlignment="0" applyProtection="0">
      <alignment vertical="center"/>
    </xf>
    <xf numFmtId="0" fontId="135" fillId="37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13" borderId="13" applyNumberFormat="0" applyFont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7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1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5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29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4" fillId="33" borderId="0" applyNumberFormat="0" applyBorder="0" applyAlignment="0" applyProtection="0">
      <alignment vertical="center"/>
    </xf>
    <xf numFmtId="0" fontId="134" fillId="35" borderId="0" applyNumberFormat="0" applyBorder="0" applyAlignment="0" applyProtection="0">
      <alignment vertical="center"/>
    </xf>
    <xf numFmtId="0" fontId="134" fillId="36" borderId="0" applyNumberFormat="0" applyBorder="0" applyAlignment="0" applyProtection="0">
      <alignment vertical="center"/>
    </xf>
    <xf numFmtId="0" fontId="134" fillId="37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13" borderId="13" applyNumberFormat="0" applyFont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7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1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5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29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3" fillId="33" borderId="0" applyNumberFormat="0" applyBorder="0" applyAlignment="0" applyProtection="0">
      <alignment vertical="center"/>
    </xf>
    <xf numFmtId="0" fontId="133" fillId="35" borderId="0" applyNumberFormat="0" applyBorder="0" applyAlignment="0" applyProtection="0">
      <alignment vertical="center"/>
    </xf>
    <xf numFmtId="0" fontId="133" fillId="36" borderId="0" applyNumberFormat="0" applyBorder="0" applyAlignment="0" applyProtection="0">
      <alignment vertical="center"/>
    </xf>
    <xf numFmtId="0" fontId="133" fillId="37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13" borderId="13" applyNumberFormat="0" applyFont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7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1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5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29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2" fillId="33" borderId="0" applyNumberFormat="0" applyBorder="0" applyAlignment="0" applyProtection="0">
      <alignment vertical="center"/>
    </xf>
    <xf numFmtId="0" fontId="132" fillId="35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13" borderId="13" applyNumberFormat="0" applyFont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7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1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5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29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1" fillId="33" borderId="0" applyNumberFormat="0" applyBorder="0" applyAlignment="0" applyProtection="0">
      <alignment vertical="center"/>
    </xf>
    <xf numFmtId="0" fontId="131" fillId="35" borderId="0" applyNumberFormat="0" applyBorder="0" applyAlignment="0" applyProtection="0">
      <alignment vertical="center"/>
    </xf>
    <xf numFmtId="0" fontId="131" fillId="36" borderId="0" applyNumberFormat="0" applyBorder="0" applyAlignment="0" applyProtection="0">
      <alignment vertical="center"/>
    </xf>
    <xf numFmtId="0" fontId="131" fillId="37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13" borderId="13" applyNumberFormat="0" applyFont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7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1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5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29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30" fillId="33" borderId="0" applyNumberFormat="0" applyBorder="0" applyAlignment="0" applyProtection="0">
      <alignment vertical="center"/>
    </xf>
    <xf numFmtId="0" fontId="130" fillId="35" borderId="0" applyNumberFormat="0" applyBorder="0" applyAlignment="0" applyProtection="0">
      <alignment vertical="center"/>
    </xf>
    <xf numFmtId="0" fontId="130" fillId="36" borderId="0" applyNumberFormat="0" applyBorder="0" applyAlignment="0" applyProtection="0">
      <alignment vertical="center"/>
    </xf>
    <xf numFmtId="0" fontId="130" fillId="37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13" borderId="13" applyNumberFormat="0" applyFont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7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1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5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29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9" fillId="33" borderId="0" applyNumberFormat="0" applyBorder="0" applyAlignment="0" applyProtection="0">
      <alignment vertical="center"/>
    </xf>
    <xf numFmtId="0" fontId="129" fillId="35" borderId="0" applyNumberFormat="0" applyBorder="0" applyAlignment="0" applyProtection="0">
      <alignment vertical="center"/>
    </xf>
    <xf numFmtId="0" fontId="129" fillId="36" borderId="0" applyNumberFormat="0" applyBorder="0" applyAlignment="0" applyProtection="0">
      <alignment vertical="center"/>
    </xf>
    <xf numFmtId="0" fontId="129" fillId="37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13" borderId="13" applyNumberFormat="0" applyFont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7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1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5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29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8" fillId="33" borderId="0" applyNumberFormat="0" applyBorder="0" applyAlignment="0" applyProtection="0">
      <alignment vertical="center"/>
    </xf>
    <xf numFmtId="0" fontId="128" fillId="35" borderId="0" applyNumberFormat="0" applyBorder="0" applyAlignment="0" applyProtection="0">
      <alignment vertical="center"/>
    </xf>
    <xf numFmtId="0" fontId="128" fillId="36" borderId="0" applyNumberFormat="0" applyBorder="0" applyAlignment="0" applyProtection="0">
      <alignment vertical="center"/>
    </xf>
    <xf numFmtId="0" fontId="128" fillId="37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13" borderId="13" applyNumberFormat="0" applyFont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7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1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5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29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7" fillId="33" borderId="0" applyNumberFormat="0" applyBorder="0" applyAlignment="0" applyProtection="0">
      <alignment vertical="center"/>
    </xf>
    <xf numFmtId="0" fontId="127" fillId="35" borderId="0" applyNumberFormat="0" applyBorder="0" applyAlignment="0" applyProtection="0">
      <alignment vertical="center"/>
    </xf>
    <xf numFmtId="0" fontId="127" fillId="36" borderId="0" applyNumberFormat="0" applyBorder="0" applyAlignment="0" applyProtection="0">
      <alignment vertical="center"/>
    </xf>
    <xf numFmtId="0" fontId="127" fillId="37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13" borderId="13" applyNumberFormat="0" applyFont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7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1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5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29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6" fillId="33" borderId="0" applyNumberFormat="0" applyBorder="0" applyAlignment="0" applyProtection="0">
      <alignment vertical="center"/>
    </xf>
    <xf numFmtId="0" fontId="126" fillId="35" borderId="0" applyNumberFormat="0" applyBorder="0" applyAlignment="0" applyProtection="0">
      <alignment vertical="center"/>
    </xf>
    <xf numFmtId="0" fontId="126" fillId="36" borderId="0" applyNumberFormat="0" applyBorder="0" applyAlignment="0" applyProtection="0">
      <alignment vertical="center"/>
    </xf>
    <xf numFmtId="0" fontId="126" fillId="37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13" borderId="13" applyNumberFormat="0" applyFont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7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1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5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29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5" fillId="33" borderId="0" applyNumberFormat="0" applyBorder="0" applyAlignment="0" applyProtection="0">
      <alignment vertical="center"/>
    </xf>
    <xf numFmtId="0" fontId="125" fillId="35" borderId="0" applyNumberFormat="0" applyBorder="0" applyAlignment="0" applyProtection="0">
      <alignment vertical="center"/>
    </xf>
    <xf numFmtId="0" fontId="125" fillId="36" borderId="0" applyNumberFormat="0" applyBorder="0" applyAlignment="0" applyProtection="0">
      <alignment vertical="center"/>
    </xf>
    <xf numFmtId="0" fontId="125" fillId="37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13" borderId="13" applyNumberFormat="0" applyFont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7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1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5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29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4" fillId="33" borderId="0" applyNumberFormat="0" applyBorder="0" applyAlignment="0" applyProtection="0">
      <alignment vertical="center"/>
    </xf>
    <xf numFmtId="0" fontId="124" fillId="35" borderId="0" applyNumberFormat="0" applyBorder="0" applyAlignment="0" applyProtection="0">
      <alignment vertical="center"/>
    </xf>
    <xf numFmtId="0" fontId="124" fillId="36" borderId="0" applyNumberFormat="0" applyBorder="0" applyAlignment="0" applyProtection="0">
      <alignment vertical="center"/>
    </xf>
    <xf numFmtId="0" fontId="124" fillId="37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13" borderId="13" applyNumberFormat="0" applyFont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3" fillId="33" borderId="0" applyNumberFormat="0" applyBorder="0" applyAlignment="0" applyProtection="0">
      <alignment vertical="center"/>
    </xf>
    <xf numFmtId="0" fontId="123" fillId="35" borderId="0" applyNumberFormat="0" applyBorder="0" applyAlignment="0" applyProtection="0">
      <alignment vertical="center"/>
    </xf>
    <xf numFmtId="0" fontId="123" fillId="36" borderId="0" applyNumberFormat="0" applyBorder="0" applyAlignment="0" applyProtection="0">
      <alignment vertical="center"/>
    </xf>
    <xf numFmtId="0" fontId="123" fillId="37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13" borderId="13" applyNumberFormat="0" applyFont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7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1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5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29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2" fillId="33" borderId="0" applyNumberFormat="0" applyBorder="0" applyAlignment="0" applyProtection="0">
      <alignment vertical="center"/>
    </xf>
    <xf numFmtId="0" fontId="122" fillId="35" borderId="0" applyNumberFormat="0" applyBorder="0" applyAlignment="0" applyProtection="0">
      <alignment vertical="center"/>
    </xf>
    <xf numFmtId="0" fontId="122" fillId="36" borderId="0" applyNumberFormat="0" applyBorder="0" applyAlignment="0" applyProtection="0">
      <alignment vertical="center"/>
    </xf>
    <xf numFmtId="0" fontId="122" fillId="37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13" borderId="13" applyNumberFormat="0" applyFont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7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1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5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29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1" fillId="33" borderId="0" applyNumberFormat="0" applyBorder="0" applyAlignment="0" applyProtection="0">
      <alignment vertical="center"/>
    </xf>
    <xf numFmtId="0" fontId="121" fillId="35" borderId="0" applyNumberFormat="0" applyBorder="0" applyAlignment="0" applyProtection="0">
      <alignment vertical="center"/>
    </xf>
    <xf numFmtId="0" fontId="121" fillId="36" borderId="0" applyNumberFormat="0" applyBorder="0" applyAlignment="0" applyProtection="0">
      <alignment vertical="center"/>
    </xf>
    <xf numFmtId="0" fontId="121" fillId="37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13" borderId="13" applyNumberFormat="0" applyFont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7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1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5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29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20" fillId="33" borderId="0" applyNumberFormat="0" applyBorder="0" applyAlignment="0" applyProtection="0">
      <alignment vertical="center"/>
    </xf>
    <xf numFmtId="0" fontId="120" fillId="35" borderId="0" applyNumberFormat="0" applyBorder="0" applyAlignment="0" applyProtection="0">
      <alignment vertical="center"/>
    </xf>
    <xf numFmtId="0" fontId="120" fillId="36" borderId="0" applyNumberFormat="0" applyBorder="0" applyAlignment="0" applyProtection="0">
      <alignment vertical="center"/>
    </xf>
    <xf numFmtId="0" fontId="120" fillId="37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13" borderId="13" applyNumberFormat="0" applyFont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7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1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5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29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9" fillId="33" borderId="0" applyNumberFormat="0" applyBorder="0" applyAlignment="0" applyProtection="0">
      <alignment vertical="center"/>
    </xf>
    <xf numFmtId="0" fontId="119" fillId="35" borderId="0" applyNumberFormat="0" applyBorder="0" applyAlignment="0" applyProtection="0">
      <alignment vertical="center"/>
    </xf>
    <xf numFmtId="0" fontId="119" fillId="36" borderId="0" applyNumberFormat="0" applyBorder="0" applyAlignment="0" applyProtection="0">
      <alignment vertical="center"/>
    </xf>
    <xf numFmtId="0" fontId="119" fillId="37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13" borderId="13" applyNumberFormat="0" applyFont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7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1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5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29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8" fillId="33" borderId="0" applyNumberFormat="0" applyBorder="0" applyAlignment="0" applyProtection="0">
      <alignment vertical="center"/>
    </xf>
    <xf numFmtId="0" fontId="118" fillId="35" borderId="0" applyNumberFormat="0" applyBorder="0" applyAlignment="0" applyProtection="0">
      <alignment vertical="center"/>
    </xf>
    <xf numFmtId="0" fontId="118" fillId="36" borderId="0" applyNumberFormat="0" applyBorder="0" applyAlignment="0" applyProtection="0">
      <alignment vertical="center"/>
    </xf>
    <xf numFmtId="0" fontId="118" fillId="37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13" borderId="13" applyNumberFormat="0" applyFont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7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1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5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29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7" fillId="33" borderId="0" applyNumberFormat="0" applyBorder="0" applyAlignment="0" applyProtection="0">
      <alignment vertical="center"/>
    </xf>
    <xf numFmtId="0" fontId="117" fillId="35" borderId="0" applyNumberFormat="0" applyBorder="0" applyAlignment="0" applyProtection="0">
      <alignment vertical="center"/>
    </xf>
    <xf numFmtId="0" fontId="117" fillId="36" borderId="0" applyNumberFormat="0" applyBorder="0" applyAlignment="0" applyProtection="0">
      <alignment vertical="center"/>
    </xf>
    <xf numFmtId="0" fontId="117" fillId="37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13" borderId="13" applyNumberFormat="0" applyFont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7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1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5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29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6" fillId="33" borderId="0" applyNumberFormat="0" applyBorder="0" applyAlignment="0" applyProtection="0">
      <alignment vertical="center"/>
    </xf>
    <xf numFmtId="0" fontId="116" fillId="35" borderId="0" applyNumberFormat="0" applyBorder="0" applyAlignment="0" applyProtection="0">
      <alignment vertical="center"/>
    </xf>
    <xf numFmtId="0" fontId="116" fillId="36" borderId="0" applyNumberFormat="0" applyBorder="0" applyAlignment="0" applyProtection="0">
      <alignment vertical="center"/>
    </xf>
    <xf numFmtId="0" fontId="116" fillId="37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13" borderId="13" applyNumberFormat="0" applyFont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7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1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5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29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5" fillId="33" borderId="0" applyNumberFormat="0" applyBorder="0" applyAlignment="0" applyProtection="0">
      <alignment vertical="center"/>
    </xf>
    <xf numFmtId="0" fontId="115" fillId="35" borderId="0" applyNumberFormat="0" applyBorder="0" applyAlignment="0" applyProtection="0">
      <alignment vertical="center"/>
    </xf>
    <xf numFmtId="0" fontId="115" fillId="36" borderId="0" applyNumberFormat="0" applyBorder="0" applyAlignment="0" applyProtection="0">
      <alignment vertical="center"/>
    </xf>
    <xf numFmtId="0" fontId="115" fillId="37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13" borderId="13" applyNumberFormat="0" applyFont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7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1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5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29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4" fillId="33" borderId="0" applyNumberFormat="0" applyBorder="0" applyAlignment="0" applyProtection="0">
      <alignment vertical="center"/>
    </xf>
    <xf numFmtId="0" fontId="114" fillId="35" borderId="0" applyNumberFormat="0" applyBorder="0" applyAlignment="0" applyProtection="0">
      <alignment vertical="center"/>
    </xf>
    <xf numFmtId="0" fontId="114" fillId="36" borderId="0" applyNumberFormat="0" applyBorder="0" applyAlignment="0" applyProtection="0">
      <alignment vertical="center"/>
    </xf>
    <xf numFmtId="0" fontId="114" fillId="37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13" borderId="13" applyNumberFormat="0" applyFont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1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5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29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3" fillId="33" borderId="0" applyNumberFormat="0" applyBorder="0" applyAlignment="0" applyProtection="0">
      <alignment vertical="center"/>
    </xf>
    <xf numFmtId="0" fontId="113" fillId="35" borderId="0" applyNumberFormat="0" applyBorder="0" applyAlignment="0" applyProtection="0">
      <alignment vertical="center"/>
    </xf>
    <xf numFmtId="0" fontId="113" fillId="36" borderId="0" applyNumberFormat="0" applyBorder="0" applyAlignment="0" applyProtection="0">
      <alignment vertical="center"/>
    </xf>
    <xf numFmtId="0" fontId="113" fillId="37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13" borderId="13" applyNumberFormat="0" applyFont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7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1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5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29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2" fillId="33" borderId="0" applyNumberFormat="0" applyBorder="0" applyAlignment="0" applyProtection="0">
      <alignment vertical="center"/>
    </xf>
    <xf numFmtId="0" fontId="112" fillId="35" borderId="0" applyNumberFormat="0" applyBorder="0" applyAlignment="0" applyProtection="0">
      <alignment vertical="center"/>
    </xf>
    <xf numFmtId="0" fontId="112" fillId="36" borderId="0" applyNumberFormat="0" applyBorder="0" applyAlignment="0" applyProtection="0">
      <alignment vertical="center"/>
    </xf>
    <xf numFmtId="0" fontId="112" fillId="37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13" borderId="13" applyNumberFormat="0" applyFont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7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1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5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29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1" fillId="33" borderId="0" applyNumberFormat="0" applyBorder="0" applyAlignment="0" applyProtection="0">
      <alignment vertical="center"/>
    </xf>
    <xf numFmtId="0" fontId="111" fillId="35" borderId="0" applyNumberFormat="0" applyBorder="0" applyAlignment="0" applyProtection="0">
      <alignment vertical="center"/>
    </xf>
    <xf numFmtId="0" fontId="111" fillId="36" borderId="0" applyNumberFormat="0" applyBorder="0" applyAlignment="0" applyProtection="0">
      <alignment vertical="center"/>
    </xf>
    <xf numFmtId="0" fontId="111" fillId="37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13" borderId="13" applyNumberFormat="0" applyFont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7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5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29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10" fillId="33" borderId="0" applyNumberFormat="0" applyBorder="0" applyAlignment="0" applyProtection="0">
      <alignment vertical="center"/>
    </xf>
    <xf numFmtId="0" fontId="110" fillId="35" borderId="0" applyNumberFormat="0" applyBorder="0" applyAlignment="0" applyProtection="0">
      <alignment vertical="center"/>
    </xf>
    <xf numFmtId="0" fontId="110" fillId="36" borderId="0" applyNumberFormat="0" applyBorder="0" applyAlignment="0" applyProtection="0">
      <alignment vertical="center"/>
    </xf>
    <xf numFmtId="0" fontId="110" fillId="37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13" borderId="13" applyNumberFormat="0" applyFont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7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1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5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29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9" fillId="33" borderId="0" applyNumberFormat="0" applyBorder="0" applyAlignment="0" applyProtection="0">
      <alignment vertical="center"/>
    </xf>
    <xf numFmtId="0" fontId="109" fillId="35" borderId="0" applyNumberFormat="0" applyBorder="0" applyAlignment="0" applyProtection="0">
      <alignment vertical="center"/>
    </xf>
    <xf numFmtId="0" fontId="109" fillId="36" borderId="0" applyNumberFormat="0" applyBorder="0" applyAlignment="0" applyProtection="0">
      <alignment vertical="center"/>
    </xf>
    <xf numFmtId="0" fontId="109" fillId="37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13" borderId="13" applyNumberFormat="0" applyFont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7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1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5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29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8" fillId="33" borderId="0" applyNumberFormat="0" applyBorder="0" applyAlignment="0" applyProtection="0">
      <alignment vertical="center"/>
    </xf>
    <xf numFmtId="0" fontId="108" fillId="35" borderId="0" applyNumberFormat="0" applyBorder="0" applyAlignment="0" applyProtection="0">
      <alignment vertical="center"/>
    </xf>
    <xf numFmtId="0" fontId="108" fillId="36" borderId="0" applyNumberFormat="0" applyBorder="0" applyAlignment="0" applyProtection="0">
      <alignment vertical="center"/>
    </xf>
    <xf numFmtId="0" fontId="108" fillId="37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13" borderId="13" applyNumberFormat="0" applyFont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7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1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5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29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7" fillId="33" borderId="0" applyNumberFormat="0" applyBorder="0" applyAlignment="0" applyProtection="0">
      <alignment vertical="center"/>
    </xf>
    <xf numFmtId="0" fontId="107" fillId="35" borderId="0" applyNumberFormat="0" applyBorder="0" applyAlignment="0" applyProtection="0">
      <alignment vertical="center"/>
    </xf>
    <xf numFmtId="0" fontId="107" fillId="36" borderId="0" applyNumberFormat="0" applyBorder="0" applyAlignment="0" applyProtection="0">
      <alignment vertical="center"/>
    </xf>
    <xf numFmtId="0" fontId="107" fillId="37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13" borderId="13" applyNumberFormat="0" applyFont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5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6" fillId="33" borderId="0" applyNumberFormat="0" applyBorder="0" applyAlignment="0" applyProtection="0">
      <alignment vertical="center"/>
    </xf>
    <xf numFmtId="0" fontId="106" fillId="35" borderId="0" applyNumberFormat="0" applyBorder="0" applyAlignment="0" applyProtection="0">
      <alignment vertical="center"/>
    </xf>
    <xf numFmtId="0" fontId="106" fillId="36" borderId="0" applyNumberFormat="0" applyBorder="0" applyAlignment="0" applyProtection="0">
      <alignment vertical="center"/>
    </xf>
    <xf numFmtId="0" fontId="106" fillId="37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13" borderId="13" applyNumberFormat="0" applyFont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7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1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5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29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5" fillId="33" borderId="0" applyNumberFormat="0" applyBorder="0" applyAlignment="0" applyProtection="0">
      <alignment vertical="center"/>
    </xf>
    <xf numFmtId="0" fontId="105" fillId="35" borderId="0" applyNumberFormat="0" applyBorder="0" applyAlignment="0" applyProtection="0">
      <alignment vertical="center"/>
    </xf>
    <xf numFmtId="0" fontId="105" fillId="36" borderId="0" applyNumberFormat="0" applyBorder="0" applyAlignment="0" applyProtection="0">
      <alignment vertical="center"/>
    </xf>
    <xf numFmtId="0" fontId="105" fillId="37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13" borderId="13" applyNumberFormat="0" applyFont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7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1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5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29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4" fillId="33" borderId="0" applyNumberFormat="0" applyBorder="0" applyAlignment="0" applyProtection="0">
      <alignment vertical="center"/>
    </xf>
    <xf numFmtId="0" fontId="104" fillId="35" borderId="0" applyNumberFormat="0" applyBorder="0" applyAlignment="0" applyProtection="0">
      <alignment vertical="center"/>
    </xf>
    <xf numFmtId="0" fontId="104" fillId="36" borderId="0" applyNumberFormat="0" applyBorder="0" applyAlignment="0" applyProtection="0">
      <alignment vertical="center"/>
    </xf>
    <xf numFmtId="0" fontId="104" fillId="37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13" borderId="13" applyNumberFormat="0" applyFont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7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1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5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3" fillId="33" borderId="0" applyNumberFormat="0" applyBorder="0" applyAlignment="0" applyProtection="0">
      <alignment vertical="center"/>
    </xf>
    <xf numFmtId="0" fontId="103" fillId="35" borderId="0" applyNumberFormat="0" applyBorder="0" applyAlignment="0" applyProtection="0">
      <alignment vertical="center"/>
    </xf>
    <xf numFmtId="0" fontId="103" fillId="36" borderId="0" applyNumberFormat="0" applyBorder="0" applyAlignment="0" applyProtection="0">
      <alignment vertical="center"/>
    </xf>
    <xf numFmtId="0" fontId="103" fillId="37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13" borderId="13" applyNumberFormat="0" applyFont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7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1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5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29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2" fillId="33" borderId="0" applyNumberFormat="0" applyBorder="0" applyAlignment="0" applyProtection="0">
      <alignment vertical="center"/>
    </xf>
    <xf numFmtId="0" fontId="102" fillId="35" borderId="0" applyNumberFormat="0" applyBorder="0" applyAlignment="0" applyProtection="0">
      <alignment vertical="center"/>
    </xf>
    <xf numFmtId="0" fontId="102" fillId="36" borderId="0" applyNumberFormat="0" applyBorder="0" applyAlignment="0" applyProtection="0">
      <alignment vertical="center"/>
    </xf>
    <xf numFmtId="0" fontId="102" fillId="37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13" borderId="13" applyNumberFormat="0" applyFont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7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5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1" fillId="33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6" borderId="0" applyNumberFormat="0" applyBorder="0" applyAlignment="0" applyProtection="0">
      <alignment vertical="center"/>
    </xf>
    <xf numFmtId="0" fontId="101" fillId="37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13" borderId="13" applyNumberFormat="0" applyFont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7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1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5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29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100" fillId="33" borderId="0" applyNumberFormat="0" applyBorder="0" applyAlignment="0" applyProtection="0">
      <alignment vertical="center"/>
    </xf>
    <xf numFmtId="0" fontId="100" fillId="35" borderId="0" applyNumberFormat="0" applyBorder="0" applyAlignment="0" applyProtection="0">
      <alignment vertical="center"/>
    </xf>
    <xf numFmtId="0" fontId="100" fillId="36" borderId="0" applyNumberFormat="0" applyBorder="0" applyAlignment="0" applyProtection="0">
      <alignment vertical="center"/>
    </xf>
    <xf numFmtId="0" fontId="100" fillId="37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13" borderId="13" applyNumberFormat="0" applyFont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7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1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5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29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9" fillId="33" borderId="0" applyNumberFormat="0" applyBorder="0" applyAlignment="0" applyProtection="0">
      <alignment vertical="center"/>
    </xf>
    <xf numFmtId="0" fontId="99" fillId="35" borderId="0" applyNumberFormat="0" applyBorder="0" applyAlignment="0" applyProtection="0">
      <alignment vertical="center"/>
    </xf>
    <xf numFmtId="0" fontId="99" fillId="36" borderId="0" applyNumberFormat="0" applyBorder="0" applyAlignment="0" applyProtection="0">
      <alignment vertical="center"/>
    </xf>
    <xf numFmtId="0" fontId="99" fillId="37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13" borderId="13" applyNumberFormat="0" applyFont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7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1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5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29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8" fillId="33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6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13" borderId="13" applyNumberFormat="0" applyFont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7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1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5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29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7" fillId="33" borderId="0" applyNumberFormat="0" applyBorder="0" applyAlignment="0" applyProtection="0">
      <alignment vertical="center"/>
    </xf>
    <xf numFmtId="0" fontId="97" fillId="35" borderId="0" applyNumberFormat="0" applyBorder="0" applyAlignment="0" applyProtection="0">
      <alignment vertical="center"/>
    </xf>
    <xf numFmtId="0" fontId="97" fillId="36" borderId="0" applyNumberFormat="0" applyBorder="0" applyAlignment="0" applyProtection="0">
      <alignment vertical="center"/>
    </xf>
    <xf numFmtId="0" fontId="97" fillId="37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13" borderId="13" applyNumberFormat="0" applyFont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7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1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5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29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6" fillId="33" borderId="0" applyNumberFormat="0" applyBorder="0" applyAlignment="0" applyProtection="0">
      <alignment vertical="center"/>
    </xf>
    <xf numFmtId="0" fontId="96" fillId="35" borderId="0" applyNumberFormat="0" applyBorder="0" applyAlignment="0" applyProtection="0">
      <alignment vertical="center"/>
    </xf>
    <xf numFmtId="0" fontId="96" fillId="36" borderId="0" applyNumberFormat="0" applyBorder="0" applyAlignment="0" applyProtection="0">
      <alignment vertical="center"/>
    </xf>
    <xf numFmtId="0" fontId="96" fillId="37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13" borderId="13" applyNumberFormat="0" applyFont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7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1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5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29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5" fillId="33" borderId="0" applyNumberFormat="0" applyBorder="0" applyAlignment="0" applyProtection="0">
      <alignment vertical="center"/>
    </xf>
    <xf numFmtId="0" fontId="95" fillId="35" borderId="0" applyNumberFormat="0" applyBorder="0" applyAlignment="0" applyProtection="0">
      <alignment vertical="center"/>
    </xf>
    <xf numFmtId="0" fontId="95" fillId="36" borderId="0" applyNumberFormat="0" applyBorder="0" applyAlignment="0" applyProtection="0">
      <alignment vertical="center"/>
    </xf>
    <xf numFmtId="0" fontId="95" fillId="37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13" borderId="13" applyNumberFormat="0" applyFont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7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1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5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29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4" fillId="33" borderId="0" applyNumberFormat="0" applyBorder="0" applyAlignment="0" applyProtection="0">
      <alignment vertical="center"/>
    </xf>
    <xf numFmtId="0" fontId="94" fillId="35" borderId="0" applyNumberFormat="0" applyBorder="0" applyAlignment="0" applyProtection="0">
      <alignment vertical="center"/>
    </xf>
    <xf numFmtId="0" fontId="94" fillId="36" borderId="0" applyNumberFormat="0" applyBorder="0" applyAlignment="0" applyProtection="0">
      <alignment vertical="center"/>
    </xf>
    <xf numFmtId="0" fontId="94" fillId="37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13" borderId="13" applyNumberFormat="0" applyFont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7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1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5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29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3" fillId="33" borderId="0" applyNumberFormat="0" applyBorder="0" applyAlignment="0" applyProtection="0">
      <alignment vertical="center"/>
    </xf>
    <xf numFmtId="0" fontId="93" fillId="35" borderId="0" applyNumberFormat="0" applyBorder="0" applyAlignment="0" applyProtection="0">
      <alignment vertical="center"/>
    </xf>
    <xf numFmtId="0" fontId="93" fillId="36" borderId="0" applyNumberFormat="0" applyBorder="0" applyAlignment="0" applyProtection="0">
      <alignment vertical="center"/>
    </xf>
    <xf numFmtId="0" fontId="93" fillId="37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13" borderId="13" applyNumberFormat="0" applyFont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7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1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5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29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2" fillId="33" borderId="0" applyNumberFormat="0" applyBorder="0" applyAlignment="0" applyProtection="0">
      <alignment vertical="center"/>
    </xf>
    <xf numFmtId="0" fontId="92" fillId="35" borderId="0" applyNumberFormat="0" applyBorder="0" applyAlignment="0" applyProtection="0">
      <alignment vertical="center"/>
    </xf>
    <xf numFmtId="0" fontId="92" fillId="36" borderId="0" applyNumberFormat="0" applyBorder="0" applyAlignment="0" applyProtection="0">
      <alignment vertical="center"/>
    </xf>
    <xf numFmtId="0" fontId="92" fillId="37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13" borderId="13" applyNumberFormat="0" applyFont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7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1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5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29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1" fillId="33" borderId="0" applyNumberFormat="0" applyBorder="0" applyAlignment="0" applyProtection="0">
      <alignment vertical="center"/>
    </xf>
    <xf numFmtId="0" fontId="91" fillId="35" borderId="0" applyNumberFormat="0" applyBorder="0" applyAlignment="0" applyProtection="0">
      <alignment vertical="center"/>
    </xf>
    <xf numFmtId="0" fontId="91" fillId="36" borderId="0" applyNumberFormat="0" applyBorder="0" applyAlignment="0" applyProtection="0">
      <alignment vertical="center"/>
    </xf>
    <xf numFmtId="0" fontId="91" fillId="37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13" borderId="13" applyNumberFormat="0" applyFont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7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1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5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29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90" fillId="33" borderId="0" applyNumberFormat="0" applyBorder="0" applyAlignment="0" applyProtection="0">
      <alignment vertical="center"/>
    </xf>
    <xf numFmtId="0" fontId="90" fillId="35" borderId="0" applyNumberFormat="0" applyBorder="0" applyAlignment="0" applyProtection="0">
      <alignment vertical="center"/>
    </xf>
    <xf numFmtId="0" fontId="90" fillId="36" borderId="0" applyNumberFormat="0" applyBorder="0" applyAlignment="0" applyProtection="0">
      <alignment vertical="center"/>
    </xf>
    <xf numFmtId="0" fontId="90" fillId="37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13" borderId="13" applyNumberFormat="0" applyFont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7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1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5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29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9" fillId="33" borderId="0" applyNumberFormat="0" applyBorder="0" applyAlignment="0" applyProtection="0">
      <alignment vertical="center"/>
    </xf>
    <xf numFmtId="0" fontId="89" fillId="35" borderId="0" applyNumberFormat="0" applyBorder="0" applyAlignment="0" applyProtection="0">
      <alignment vertical="center"/>
    </xf>
    <xf numFmtId="0" fontId="89" fillId="36" borderId="0" applyNumberFormat="0" applyBorder="0" applyAlignment="0" applyProtection="0">
      <alignment vertical="center"/>
    </xf>
    <xf numFmtId="0" fontId="89" fillId="37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13" borderId="13" applyNumberFormat="0" applyFont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7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1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5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29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8" fillId="33" borderId="0" applyNumberFormat="0" applyBorder="0" applyAlignment="0" applyProtection="0">
      <alignment vertical="center"/>
    </xf>
    <xf numFmtId="0" fontId="88" fillId="35" borderId="0" applyNumberFormat="0" applyBorder="0" applyAlignment="0" applyProtection="0">
      <alignment vertical="center"/>
    </xf>
    <xf numFmtId="0" fontId="88" fillId="36" borderId="0" applyNumberFormat="0" applyBorder="0" applyAlignment="0" applyProtection="0">
      <alignment vertical="center"/>
    </xf>
    <xf numFmtId="0" fontId="88" fillId="37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13" borderId="13" applyNumberFormat="0" applyFont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7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1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5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29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7" fillId="33" borderId="0" applyNumberFormat="0" applyBorder="0" applyAlignment="0" applyProtection="0">
      <alignment vertical="center"/>
    </xf>
    <xf numFmtId="0" fontId="87" fillId="35" borderId="0" applyNumberFormat="0" applyBorder="0" applyAlignment="0" applyProtection="0">
      <alignment vertical="center"/>
    </xf>
    <xf numFmtId="0" fontId="87" fillId="36" borderId="0" applyNumberFormat="0" applyBorder="0" applyAlignment="0" applyProtection="0">
      <alignment vertical="center"/>
    </xf>
    <xf numFmtId="0" fontId="87" fillId="37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13" borderId="13" applyNumberFormat="0" applyFont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7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1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5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29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6" fillId="33" borderId="0" applyNumberFormat="0" applyBorder="0" applyAlignment="0" applyProtection="0">
      <alignment vertical="center"/>
    </xf>
    <xf numFmtId="0" fontId="86" fillId="35" borderId="0" applyNumberFormat="0" applyBorder="0" applyAlignment="0" applyProtection="0">
      <alignment vertical="center"/>
    </xf>
    <xf numFmtId="0" fontId="86" fillId="36" borderId="0" applyNumberFormat="0" applyBorder="0" applyAlignment="0" applyProtection="0">
      <alignment vertical="center"/>
    </xf>
    <xf numFmtId="0" fontId="86" fillId="37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13" borderId="13" applyNumberFormat="0" applyFont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7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1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5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29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5" fillId="33" borderId="0" applyNumberFormat="0" applyBorder="0" applyAlignment="0" applyProtection="0">
      <alignment vertical="center"/>
    </xf>
    <xf numFmtId="0" fontId="85" fillId="35" borderId="0" applyNumberFormat="0" applyBorder="0" applyAlignment="0" applyProtection="0">
      <alignment vertical="center"/>
    </xf>
    <xf numFmtId="0" fontId="85" fillId="36" borderId="0" applyNumberFormat="0" applyBorder="0" applyAlignment="0" applyProtection="0">
      <alignment vertical="center"/>
    </xf>
    <xf numFmtId="0" fontId="85" fillId="37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13" borderId="13" applyNumberFormat="0" applyFont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7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1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5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29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4" fillId="33" borderId="0" applyNumberFormat="0" applyBorder="0" applyAlignment="0" applyProtection="0">
      <alignment vertical="center"/>
    </xf>
    <xf numFmtId="0" fontId="84" fillId="35" borderId="0" applyNumberFormat="0" applyBorder="0" applyAlignment="0" applyProtection="0">
      <alignment vertical="center"/>
    </xf>
    <xf numFmtId="0" fontId="84" fillId="36" borderId="0" applyNumberFormat="0" applyBorder="0" applyAlignment="0" applyProtection="0">
      <alignment vertical="center"/>
    </xf>
    <xf numFmtId="0" fontId="84" fillId="37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13" borderId="13" applyNumberFormat="0" applyFont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7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1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5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29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3" fillId="33" borderId="0" applyNumberFormat="0" applyBorder="0" applyAlignment="0" applyProtection="0">
      <alignment vertical="center"/>
    </xf>
    <xf numFmtId="0" fontId="83" fillId="35" borderId="0" applyNumberFormat="0" applyBorder="0" applyAlignment="0" applyProtection="0">
      <alignment vertical="center"/>
    </xf>
    <xf numFmtId="0" fontId="83" fillId="36" borderId="0" applyNumberFormat="0" applyBorder="0" applyAlignment="0" applyProtection="0">
      <alignment vertical="center"/>
    </xf>
    <xf numFmtId="0" fontId="83" fillId="37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13" borderId="13" applyNumberFormat="0" applyFont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7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1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5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29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2" fillId="33" borderId="0" applyNumberFormat="0" applyBorder="0" applyAlignment="0" applyProtection="0">
      <alignment vertical="center"/>
    </xf>
    <xf numFmtId="0" fontId="82" fillId="35" borderId="0" applyNumberFormat="0" applyBorder="0" applyAlignment="0" applyProtection="0">
      <alignment vertical="center"/>
    </xf>
    <xf numFmtId="0" fontId="82" fillId="36" borderId="0" applyNumberFormat="0" applyBorder="0" applyAlignment="0" applyProtection="0">
      <alignment vertical="center"/>
    </xf>
    <xf numFmtId="0" fontId="82" fillId="37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13" borderId="13" applyNumberFormat="0" applyFont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7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1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5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29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1" fillId="33" borderId="0" applyNumberFormat="0" applyBorder="0" applyAlignment="0" applyProtection="0">
      <alignment vertical="center"/>
    </xf>
    <xf numFmtId="0" fontId="81" fillId="35" borderId="0" applyNumberFormat="0" applyBorder="0" applyAlignment="0" applyProtection="0">
      <alignment vertical="center"/>
    </xf>
    <xf numFmtId="0" fontId="81" fillId="36" borderId="0" applyNumberFormat="0" applyBorder="0" applyAlignment="0" applyProtection="0">
      <alignment vertical="center"/>
    </xf>
    <xf numFmtId="0" fontId="81" fillId="37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13" borderId="13" applyNumberFormat="0" applyFont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7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1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5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29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80" fillId="33" borderId="0" applyNumberFormat="0" applyBorder="0" applyAlignment="0" applyProtection="0">
      <alignment vertical="center"/>
    </xf>
    <xf numFmtId="0" fontId="80" fillId="35" borderId="0" applyNumberFormat="0" applyBorder="0" applyAlignment="0" applyProtection="0">
      <alignment vertical="center"/>
    </xf>
    <xf numFmtId="0" fontId="80" fillId="36" borderId="0" applyNumberFormat="0" applyBorder="0" applyAlignment="0" applyProtection="0">
      <alignment vertical="center"/>
    </xf>
    <xf numFmtId="0" fontId="80" fillId="37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13" borderId="13" applyNumberFormat="0" applyFont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7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1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5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9" fillId="33" borderId="0" applyNumberFormat="0" applyBorder="0" applyAlignment="0" applyProtection="0">
      <alignment vertical="center"/>
    </xf>
    <xf numFmtId="0" fontId="79" fillId="35" borderId="0" applyNumberFormat="0" applyBorder="0" applyAlignment="0" applyProtection="0">
      <alignment vertical="center"/>
    </xf>
    <xf numFmtId="0" fontId="79" fillId="36" borderId="0" applyNumberFormat="0" applyBorder="0" applyAlignment="0" applyProtection="0">
      <alignment vertical="center"/>
    </xf>
    <xf numFmtId="0" fontId="79" fillId="37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13" borderId="13" applyNumberFormat="0" applyFont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7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1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5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29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8" fillId="33" borderId="0" applyNumberFormat="0" applyBorder="0" applyAlignment="0" applyProtection="0">
      <alignment vertical="center"/>
    </xf>
    <xf numFmtId="0" fontId="78" fillId="35" borderId="0" applyNumberFormat="0" applyBorder="0" applyAlignment="0" applyProtection="0">
      <alignment vertical="center"/>
    </xf>
    <xf numFmtId="0" fontId="78" fillId="36" borderId="0" applyNumberFormat="0" applyBorder="0" applyAlignment="0" applyProtection="0">
      <alignment vertical="center"/>
    </xf>
    <xf numFmtId="0" fontId="78" fillId="37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13" borderId="13" applyNumberFormat="0" applyFont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7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1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5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29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7" fillId="33" borderId="0" applyNumberFormat="0" applyBorder="0" applyAlignment="0" applyProtection="0">
      <alignment vertical="center"/>
    </xf>
    <xf numFmtId="0" fontId="77" fillId="35" borderId="0" applyNumberFormat="0" applyBorder="0" applyAlignment="0" applyProtection="0">
      <alignment vertical="center"/>
    </xf>
    <xf numFmtId="0" fontId="77" fillId="36" borderId="0" applyNumberFormat="0" applyBorder="0" applyAlignment="0" applyProtection="0">
      <alignment vertical="center"/>
    </xf>
    <xf numFmtId="0" fontId="77" fillId="37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13" borderId="13" applyNumberFormat="0" applyFont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7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1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5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29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6" fillId="33" borderId="0" applyNumberFormat="0" applyBorder="0" applyAlignment="0" applyProtection="0">
      <alignment vertical="center"/>
    </xf>
    <xf numFmtId="0" fontId="76" fillId="35" borderId="0" applyNumberFormat="0" applyBorder="0" applyAlignment="0" applyProtection="0">
      <alignment vertical="center"/>
    </xf>
    <xf numFmtId="0" fontId="76" fillId="36" borderId="0" applyNumberFormat="0" applyBorder="0" applyAlignment="0" applyProtection="0">
      <alignment vertical="center"/>
    </xf>
    <xf numFmtId="0" fontId="76" fillId="37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13" borderId="13" applyNumberFormat="0" applyFont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7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1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5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29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5" fillId="33" borderId="0" applyNumberFormat="0" applyBorder="0" applyAlignment="0" applyProtection="0">
      <alignment vertical="center"/>
    </xf>
    <xf numFmtId="0" fontId="75" fillId="35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7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13" borderId="13" applyNumberFormat="0" applyFont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13" borderId="13" applyNumberFormat="0" applyFont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7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1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5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29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5" borderId="0" applyNumberFormat="0" applyBorder="0" applyAlignment="0" applyProtection="0">
      <alignment vertical="center"/>
    </xf>
    <xf numFmtId="0" fontId="73" fillId="36" borderId="0" applyNumberFormat="0" applyBorder="0" applyAlignment="0" applyProtection="0">
      <alignment vertical="center"/>
    </xf>
    <xf numFmtId="0" fontId="73" fillId="37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13" borderId="13" applyNumberFormat="0" applyFont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7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1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5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29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5" borderId="0" applyNumberFormat="0" applyBorder="0" applyAlignment="0" applyProtection="0">
      <alignment vertical="center"/>
    </xf>
    <xf numFmtId="0" fontId="72" fillId="36" borderId="0" applyNumberFormat="0" applyBorder="0" applyAlignment="0" applyProtection="0">
      <alignment vertical="center"/>
    </xf>
    <xf numFmtId="0" fontId="72" fillId="37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13" borderId="13" applyNumberFormat="0" applyFont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7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1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1" fillId="33" borderId="0" applyNumberFormat="0" applyBorder="0" applyAlignment="0" applyProtection="0">
      <alignment vertical="center"/>
    </xf>
    <xf numFmtId="0" fontId="71" fillId="35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7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13" borderId="13" applyNumberFormat="0" applyFont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7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5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29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3" borderId="0" applyNumberFormat="0" applyBorder="0" applyAlignment="0" applyProtection="0">
      <alignment vertical="center"/>
    </xf>
    <xf numFmtId="0" fontId="70" fillId="35" borderId="0" applyNumberFormat="0" applyBorder="0" applyAlignment="0" applyProtection="0">
      <alignment vertical="center"/>
    </xf>
    <xf numFmtId="0" fontId="70" fillId="36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13" borderId="13" applyNumberFormat="0" applyFont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7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1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5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29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9" fillId="33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6" borderId="0" applyNumberFormat="0" applyBorder="0" applyAlignment="0" applyProtection="0">
      <alignment vertical="center"/>
    </xf>
    <xf numFmtId="0" fontId="69" fillId="37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13" borderId="13" applyNumberFormat="0" applyFont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9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8" fillId="33" borderId="0" applyNumberFormat="0" applyBorder="0" applyAlignment="0" applyProtection="0">
      <alignment vertical="center"/>
    </xf>
    <xf numFmtId="0" fontId="68" fillId="35" borderId="0" applyNumberFormat="0" applyBorder="0" applyAlignment="0" applyProtection="0">
      <alignment vertical="center"/>
    </xf>
    <xf numFmtId="0" fontId="68" fillId="36" borderId="0" applyNumberFormat="0" applyBorder="0" applyAlignment="0" applyProtection="0">
      <alignment vertical="center"/>
    </xf>
    <xf numFmtId="0" fontId="68" fillId="37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13" borderId="13" applyNumberFormat="0" applyFont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7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1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5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29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7" fillId="33" borderId="0" applyNumberFormat="0" applyBorder="0" applyAlignment="0" applyProtection="0">
      <alignment vertical="center"/>
    </xf>
    <xf numFmtId="0" fontId="67" fillId="35" borderId="0" applyNumberFormat="0" applyBorder="0" applyAlignment="0" applyProtection="0">
      <alignment vertical="center"/>
    </xf>
    <xf numFmtId="0" fontId="67" fillId="36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13" borderId="13" applyNumberFormat="0" applyFont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5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6" fillId="33" borderId="0" applyNumberFormat="0" applyBorder="0" applyAlignment="0" applyProtection="0">
      <alignment vertical="center"/>
    </xf>
    <xf numFmtId="0" fontId="66" fillId="35" borderId="0" applyNumberFormat="0" applyBorder="0" applyAlignment="0" applyProtection="0">
      <alignment vertical="center"/>
    </xf>
    <xf numFmtId="0" fontId="66" fillId="36" borderId="0" applyNumberFormat="0" applyBorder="0" applyAlignment="0" applyProtection="0">
      <alignment vertical="center"/>
    </xf>
    <xf numFmtId="0" fontId="66" fillId="37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13" borderId="13" applyNumberFormat="0" applyFont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7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1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5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29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5" fillId="33" borderId="0" applyNumberFormat="0" applyBorder="0" applyAlignment="0" applyProtection="0">
      <alignment vertical="center"/>
    </xf>
    <xf numFmtId="0" fontId="65" fillId="35" borderId="0" applyNumberFormat="0" applyBorder="0" applyAlignment="0" applyProtection="0">
      <alignment vertical="center"/>
    </xf>
    <xf numFmtId="0" fontId="65" fillId="36" borderId="0" applyNumberFormat="0" applyBorder="0" applyAlignment="0" applyProtection="0">
      <alignment vertical="center"/>
    </xf>
    <xf numFmtId="0" fontId="65" fillId="37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13" borderId="13" applyNumberFormat="0" applyFont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7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1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5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9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4" fillId="33" borderId="0" applyNumberFormat="0" applyBorder="0" applyAlignment="0" applyProtection="0">
      <alignment vertical="center"/>
    </xf>
    <xf numFmtId="0" fontId="64" fillId="35" borderId="0" applyNumberFormat="0" applyBorder="0" applyAlignment="0" applyProtection="0">
      <alignment vertical="center"/>
    </xf>
    <xf numFmtId="0" fontId="64" fillId="36" borderId="0" applyNumberFormat="0" applyBorder="0" applyAlignment="0" applyProtection="0">
      <alignment vertical="center"/>
    </xf>
    <xf numFmtId="0" fontId="64" fillId="37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13" borderId="13" applyNumberFormat="0" applyFont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7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1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5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29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3" fillId="33" borderId="0" applyNumberFormat="0" applyBorder="0" applyAlignment="0" applyProtection="0">
      <alignment vertical="center"/>
    </xf>
    <xf numFmtId="0" fontId="63" fillId="35" borderId="0" applyNumberFormat="0" applyBorder="0" applyAlignment="0" applyProtection="0">
      <alignment vertical="center"/>
    </xf>
    <xf numFmtId="0" fontId="63" fillId="36" borderId="0" applyNumberFormat="0" applyBorder="0" applyAlignment="0" applyProtection="0">
      <alignment vertical="center"/>
    </xf>
    <xf numFmtId="0" fontId="63" fillId="37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13" borderId="13" applyNumberFormat="0" applyFont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7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1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5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2" fillId="33" borderId="0" applyNumberFormat="0" applyBorder="0" applyAlignment="0" applyProtection="0">
      <alignment vertical="center"/>
    </xf>
    <xf numFmtId="0" fontId="62" fillId="35" borderId="0" applyNumberFormat="0" applyBorder="0" applyAlignment="0" applyProtection="0">
      <alignment vertical="center"/>
    </xf>
    <xf numFmtId="0" fontId="62" fillId="36" borderId="0" applyNumberFormat="0" applyBorder="0" applyAlignment="0" applyProtection="0">
      <alignment vertical="center"/>
    </xf>
    <xf numFmtId="0" fontId="62" fillId="37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13" borderId="13" applyNumberFormat="0" applyFont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9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1" fillId="33" borderId="0" applyNumberFormat="0" applyBorder="0" applyAlignment="0" applyProtection="0">
      <alignment vertical="center"/>
    </xf>
    <xf numFmtId="0" fontId="61" fillId="35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7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13" borderId="13" applyNumberFormat="0" applyFont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5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60" fillId="33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13" borderId="13" applyNumberFormat="0" applyFont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29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9" fillId="33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6" borderId="0" applyNumberFormat="0" applyBorder="0" applyAlignment="0" applyProtection="0">
      <alignment vertical="center"/>
    </xf>
    <xf numFmtId="0" fontId="59" fillId="37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13" borderId="13" applyNumberFormat="0" applyFont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8" fillId="33" borderId="0" applyNumberFormat="0" applyBorder="0" applyAlignment="0" applyProtection="0">
      <alignment vertical="center"/>
    </xf>
    <xf numFmtId="0" fontId="58" fillId="35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58" fillId="37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13" borderId="13" applyNumberFormat="0" applyFont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7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29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7" fillId="33" borderId="0" applyNumberFormat="0" applyBorder="0" applyAlignment="0" applyProtection="0">
      <alignment vertical="center"/>
    </xf>
    <xf numFmtId="0" fontId="57" fillId="35" borderId="0" applyNumberFormat="0" applyBorder="0" applyAlignment="0" applyProtection="0">
      <alignment vertical="center"/>
    </xf>
    <xf numFmtId="0" fontId="57" fillId="36" borderId="0" applyNumberFormat="0" applyBorder="0" applyAlignment="0" applyProtection="0">
      <alignment vertical="center"/>
    </xf>
    <xf numFmtId="0" fontId="57" fillId="37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13" borderId="13" applyNumberFormat="0" applyFont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1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5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29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6" fillId="33" borderId="0" applyNumberFormat="0" applyBorder="0" applyAlignment="0" applyProtection="0">
      <alignment vertical="center"/>
    </xf>
    <xf numFmtId="0" fontId="56" fillId="35" borderId="0" applyNumberFormat="0" applyBorder="0" applyAlignment="0" applyProtection="0">
      <alignment vertical="center"/>
    </xf>
    <xf numFmtId="0" fontId="56" fillId="36" borderId="0" applyNumberFormat="0" applyBorder="0" applyAlignment="0" applyProtection="0">
      <alignment vertical="center"/>
    </xf>
    <xf numFmtId="0" fontId="56" fillId="37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13" borderId="13" applyNumberFormat="0" applyFont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7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29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55" fillId="36" borderId="0" applyNumberFormat="0" applyBorder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13" borderId="13" applyNumberFormat="0" applyFont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1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29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4" fillId="33" borderId="0" applyNumberFormat="0" applyBorder="0" applyAlignment="0" applyProtection="0">
      <alignment vertical="center"/>
    </xf>
    <xf numFmtId="0" fontId="54" fillId="35" borderId="0" applyNumberFormat="0" applyBorder="0" applyAlignment="0" applyProtection="0">
      <alignment vertical="center"/>
    </xf>
    <xf numFmtId="0" fontId="54" fillId="36" borderId="0" applyNumberFormat="0" applyBorder="0" applyAlignment="0" applyProtection="0">
      <alignment vertical="center"/>
    </xf>
    <xf numFmtId="0" fontId="54" fillId="37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13" borderId="13" applyNumberFormat="0" applyFont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7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1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29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3" fillId="33" borderId="0" applyNumberFormat="0" applyBorder="0" applyAlignment="0" applyProtection="0">
      <alignment vertical="center"/>
    </xf>
    <xf numFmtId="0" fontId="53" fillId="35" borderId="0" applyNumberFormat="0" applyBorder="0" applyAlignment="0" applyProtection="0">
      <alignment vertical="center"/>
    </xf>
    <xf numFmtId="0" fontId="53" fillId="36" borderId="0" applyNumberFormat="0" applyBorder="0" applyAlignment="0" applyProtection="0">
      <alignment vertical="center"/>
    </xf>
    <xf numFmtId="0" fontId="53" fillId="37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13" borderId="13" applyNumberFormat="0" applyFont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7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5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29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2" fillId="33" borderId="0" applyNumberFormat="0" applyBorder="0" applyAlignment="0" applyProtection="0">
      <alignment vertical="center"/>
    </xf>
    <xf numFmtId="0" fontId="52" fillId="35" borderId="0" applyNumberFormat="0" applyBorder="0" applyAlignment="0" applyProtection="0">
      <alignment vertical="center"/>
    </xf>
    <xf numFmtId="0" fontId="52" fillId="36" borderId="0" applyNumberFormat="0" applyBorder="0" applyAlignment="0" applyProtection="0">
      <alignment vertical="center"/>
    </xf>
    <xf numFmtId="0" fontId="52" fillId="37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13" borderId="13" applyNumberFormat="0" applyFont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7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29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6" borderId="0" applyNumberFormat="0" applyBorder="0" applyAlignment="0" applyProtection="0">
      <alignment vertical="center"/>
    </xf>
    <xf numFmtId="0" fontId="51" fillId="37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13" borderId="13" applyNumberFormat="0" applyFont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50" fillId="33" borderId="0" applyNumberFormat="0" applyBorder="0" applyAlignment="0" applyProtection="0">
      <alignment vertical="center"/>
    </xf>
    <xf numFmtId="0" fontId="50" fillId="35" borderId="0" applyNumberFormat="0" applyBorder="0" applyAlignment="0" applyProtection="0">
      <alignment vertical="center"/>
    </xf>
    <xf numFmtId="0" fontId="50" fillId="36" borderId="0" applyNumberFormat="0" applyBorder="0" applyAlignment="0" applyProtection="0">
      <alignment vertical="center"/>
    </xf>
    <xf numFmtId="0" fontId="50" fillId="37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13" borderId="13" applyNumberFormat="0" applyFont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5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13" borderId="13" applyNumberFormat="0" applyFont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29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3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7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13" borderId="13" applyNumberFormat="0" applyFont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13" borderId="13" applyNumberFormat="0" applyFont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6" fillId="33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7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13" borderId="13" applyNumberFormat="0" applyFont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3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7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13" borderId="13" applyNumberFormat="0" applyFont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29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4" fillId="33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13" borderId="13" applyNumberFormat="0" applyFont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13" borderId="13" applyNumberFormat="0" applyFont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7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13" borderId="13" applyNumberFormat="0" applyFont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1" fillId="36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13" borderId="13" applyNumberFormat="0" applyFont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3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13" borderId="13" applyNumberFormat="0" applyFont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13" borderId="13" applyNumberFormat="0" applyFont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13" borderId="13" applyNumberFormat="0" applyFont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13" borderId="13" applyNumberFormat="0" applyFont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13" borderId="13" applyNumberFormat="0" applyFont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13" borderId="13" applyNumberFormat="0" applyFont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13" borderId="13" applyNumberFormat="0" applyFont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13" borderId="13" applyNumberFormat="0" applyFont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13" borderId="13" applyNumberFormat="0" applyFont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13" borderId="13" applyNumberFormat="0" applyFont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3" borderId="13" applyNumberFormat="0" applyFont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13" borderId="13" applyNumberFormat="0" applyFont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7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6" fillId="13" borderId="13" applyNumberFormat="0" applyFont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184" fillId="0" borderId="0" applyNumberFormat="0" applyFill="0" applyBorder="0" applyAlignment="0" applyProtection="0">
      <alignment vertical="center"/>
    </xf>
    <xf numFmtId="0" fontId="184" fillId="0" borderId="0" applyNumberFormat="0" applyFill="0" applyBorder="0" applyAlignment="0" applyProtection="0">
      <alignment vertical="center"/>
    </xf>
    <xf numFmtId="0" fontId="25" fillId="0" borderId="0">
      <alignment vertical="center"/>
    </xf>
    <xf numFmtId="0" fontId="25" fillId="13" borderId="13" applyNumberFormat="0" applyFont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13" borderId="13" applyNumberFormat="0" applyFont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3" borderId="13" applyNumberFormat="0" applyFont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3" borderId="13" applyNumberFormat="0" applyFont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13" borderId="13" applyNumberFormat="0" applyFont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  <xf numFmtId="0" fontId="19" fillId="37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13" borderId="13" applyNumberFormat="0" applyFont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3" borderId="13" applyNumberFormat="0" applyFont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5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13" borderId="13" applyNumberFormat="0" applyFont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13" borderId="13" applyNumberFormat="0" applyFont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13" borderId="13" applyNumberFormat="0" applyFont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7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13" borderId="13" applyNumberFormat="0" applyFont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3" borderId="13" applyNumberFormat="0" applyFont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13" borderId="13" applyNumberFormat="0" applyFont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13" borderId="13" applyNumberFormat="0" applyFont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3" borderId="13" applyNumberFormat="0" applyFont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13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13" borderId="13" applyNumberFormat="0" applyFont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3" borderId="13" applyNumberFormat="0" applyFon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3" borderId="13" applyNumberFormat="0" applyFon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3" borderId="13" applyNumberFormat="0" applyFont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3" borderId="13" applyNumberFormat="0" applyFont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3" borderId="13" applyNumberFormat="0" applyFont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13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</cellStyleXfs>
  <cellXfs count="66">
    <xf numFmtId="0" fontId="0" fillId="0" borderId="0" xfId="0">
      <alignment vertical="center"/>
    </xf>
    <xf numFmtId="0" fontId="140" fillId="0" borderId="0" xfId="1" applyFont="1" applyAlignment="1">
      <alignment horizontal="center" vertical="center"/>
    </xf>
    <xf numFmtId="176" fontId="140" fillId="3" borderId="0" xfId="1" applyNumberFormat="1" applyFont="1" applyFill="1" applyAlignment="1">
      <alignment horizontal="center" vertical="center"/>
    </xf>
    <xf numFmtId="41" fontId="140" fillId="0" borderId="0" xfId="2" applyFont="1" applyAlignment="1">
      <alignment horizontal="center" vertical="center"/>
    </xf>
    <xf numFmtId="0" fontId="142" fillId="0" borderId="0" xfId="1" applyFont="1">
      <alignment vertical="center"/>
    </xf>
    <xf numFmtId="0" fontId="143" fillId="0" borderId="0" xfId="1" applyFont="1">
      <alignment vertical="center"/>
    </xf>
    <xf numFmtId="41" fontId="143" fillId="0" borderId="0" xfId="1" applyNumberFormat="1" applyFont="1">
      <alignment vertical="center"/>
    </xf>
    <xf numFmtId="41" fontId="143" fillId="0" borderId="0" xfId="2" applyFont="1">
      <alignment vertical="center"/>
    </xf>
    <xf numFmtId="0" fontId="143" fillId="2" borderId="0" xfId="1" applyFont="1" applyFill="1">
      <alignment vertical="center"/>
    </xf>
    <xf numFmtId="0" fontId="146" fillId="0" borderId="0" xfId="1" applyFont="1">
      <alignment vertical="center"/>
    </xf>
    <xf numFmtId="41" fontId="143" fillId="4" borderId="0" xfId="2" applyFont="1" applyFill="1">
      <alignment vertical="center"/>
    </xf>
    <xf numFmtId="0" fontId="143" fillId="4" borderId="0" xfId="1" applyFont="1" applyFill="1" applyAlignment="1">
      <alignment horizontal="center" vertical="center"/>
    </xf>
    <xf numFmtId="0" fontId="148" fillId="0" borderId="1" xfId="0" applyFont="1" applyBorder="1">
      <alignment vertical="center"/>
    </xf>
    <xf numFmtId="0" fontId="147" fillId="0" borderId="1" xfId="1" applyFont="1" applyBorder="1">
      <alignment vertical="center"/>
    </xf>
    <xf numFmtId="0" fontId="149" fillId="0" borderId="0" xfId="0" applyFont="1">
      <alignment vertical="center"/>
    </xf>
    <xf numFmtId="0" fontId="148" fillId="6" borderId="1" xfId="0" applyFont="1" applyFill="1" applyBorder="1" applyAlignment="1">
      <alignment horizontal="center" vertical="center"/>
    </xf>
    <xf numFmtId="49" fontId="143" fillId="0" borderId="0" xfId="1" applyNumberFormat="1" applyFont="1">
      <alignment vertical="center"/>
    </xf>
    <xf numFmtId="0" fontId="150" fillId="0" borderId="0" xfId="1" applyFont="1">
      <alignment vertical="center"/>
    </xf>
    <xf numFmtId="49" fontId="151" fillId="2" borderId="1" xfId="1" applyNumberFormat="1" applyFont="1" applyFill="1" applyBorder="1" applyAlignment="1">
      <alignment horizontal="center" vertical="center"/>
    </xf>
    <xf numFmtId="0" fontId="151" fillId="2" borderId="1" xfId="1" applyFont="1" applyFill="1" applyBorder="1" applyAlignment="1">
      <alignment horizontal="center" vertical="center"/>
    </xf>
    <xf numFmtId="177" fontId="152" fillId="0" borderId="1" xfId="1" applyNumberFormat="1" applyFont="1" applyBorder="1" applyAlignment="1">
      <alignment horizontal="center" vertical="center"/>
    </xf>
    <xf numFmtId="0" fontId="152" fillId="0" borderId="1" xfId="1" applyFont="1" applyBorder="1" applyAlignment="1">
      <alignment horizontal="center" vertical="center"/>
    </xf>
    <xf numFmtId="178" fontId="151" fillId="0" borderId="1" xfId="1" applyNumberFormat="1" applyFont="1" applyBorder="1" applyAlignment="1">
      <alignment horizontal="center" vertical="center"/>
    </xf>
    <xf numFmtId="0" fontId="150" fillId="0" borderId="0" xfId="1" applyFont="1" applyAlignment="1">
      <alignment horizontal="center" vertical="center"/>
    </xf>
    <xf numFmtId="176" fontId="143" fillId="3" borderId="0" xfId="1" applyNumberFormat="1" applyFont="1" applyFill="1" applyAlignment="1">
      <alignment horizontal="center" vertical="center"/>
    </xf>
    <xf numFmtId="0" fontId="0" fillId="0" borderId="5" xfId="0" applyBorder="1" applyAlignment="1">
      <alignment vertical="center" wrapText="1"/>
    </xf>
    <xf numFmtId="0" fontId="0" fillId="5" borderId="5" xfId="0" applyFill="1" applyBorder="1" applyAlignment="1">
      <alignment horizontal="center" vertical="center" wrapText="1"/>
    </xf>
    <xf numFmtId="0" fontId="170" fillId="38" borderId="0" xfId="1" applyFont="1" applyFill="1" applyAlignment="1">
      <alignment horizontal="center" vertical="center"/>
    </xf>
    <xf numFmtId="41" fontId="170" fillId="38" borderId="0" xfId="1" applyNumberFormat="1" applyFont="1" applyFill="1" applyAlignment="1">
      <alignment horizontal="center" vertical="center"/>
    </xf>
    <xf numFmtId="41" fontId="170" fillId="38" borderId="0" xfId="2" applyFont="1" applyFill="1" applyAlignment="1">
      <alignment horizontal="center" vertical="center"/>
    </xf>
    <xf numFmtId="0" fontId="144" fillId="39" borderId="1" xfId="0" applyFont="1" applyFill="1" applyBorder="1" applyAlignment="1">
      <alignment horizontal="center" vertical="center"/>
    </xf>
    <xf numFmtId="0" fontId="144" fillId="39" borderId="1" xfId="0" applyFont="1" applyFill="1" applyBorder="1">
      <alignment vertical="center"/>
    </xf>
    <xf numFmtId="176" fontId="152" fillId="0" borderId="1" xfId="1" applyNumberFormat="1" applyFont="1" applyBorder="1" applyAlignment="1">
      <alignment horizontal="center" vertical="center"/>
    </xf>
    <xf numFmtId="22" fontId="0" fillId="0" borderId="5" xfId="0" applyNumberFormat="1" applyBorder="1" applyAlignment="1">
      <alignment vertical="center" wrapText="1"/>
    </xf>
    <xf numFmtId="14" fontId="0" fillId="0" borderId="5" xfId="0" applyNumberFormat="1" applyBorder="1" applyAlignment="1">
      <alignment vertical="center" wrapText="1"/>
    </xf>
    <xf numFmtId="49" fontId="0" fillId="0" borderId="5" xfId="0" applyNumberFormat="1" applyBorder="1" applyAlignment="1">
      <alignment vertical="center" wrapText="1"/>
    </xf>
    <xf numFmtId="0" fontId="136" fillId="0" borderId="0" xfId="1" applyFont="1">
      <alignment vertical="center"/>
    </xf>
    <xf numFmtId="0" fontId="183" fillId="2" borderId="0" xfId="1" applyFont="1" applyFill="1" applyAlignment="1">
      <alignment horizontal="center" vertical="center"/>
    </xf>
    <xf numFmtId="176" fontId="142" fillId="3" borderId="0" xfId="1" applyNumberFormat="1" applyFont="1" applyFill="1" applyAlignment="1">
      <alignment horizontal="center" vertical="center"/>
    </xf>
    <xf numFmtId="0" fontId="142" fillId="4" borderId="0" xfId="1" applyFont="1" applyFill="1" applyAlignment="1">
      <alignment horizontal="center" vertical="center"/>
    </xf>
    <xf numFmtId="49" fontId="142" fillId="0" borderId="0" xfId="1" applyNumberFormat="1" applyFont="1">
      <alignment vertical="center"/>
    </xf>
    <xf numFmtId="41" fontId="142" fillId="0" borderId="0" xfId="1" applyNumberFormat="1" applyFont="1">
      <alignment vertical="center"/>
    </xf>
    <xf numFmtId="41" fontId="142" fillId="4" borderId="0" xfId="2" applyFont="1" applyFill="1">
      <alignment vertical="center"/>
    </xf>
    <xf numFmtId="41" fontId="142" fillId="0" borderId="0" xfId="2" applyFont="1">
      <alignment vertical="center"/>
    </xf>
    <xf numFmtId="176" fontId="150" fillId="0" borderId="0" xfId="1" applyNumberFormat="1" applyFont="1" applyAlignment="1">
      <alignment horizontal="center" vertical="center"/>
    </xf>
    <xf numFmtId="176" fontId="146" fillId="0" borderId="0" xfId="1" applyNumberFormat="1" applyFont="1">
      <alignment vertical="center"/>
    </xf>
    <xf numFmtId="176" fontId="0" fillId="0" borderId="0" xfId="0" applyNumberFormat="1">
      <alignment vertical="center"/>
    </xf>
    <xf numFmtId="176" fontId="0" fillId="5" borderId="5" xfId="0" applyNumberFormat="1" applyFill="1" applyBorder="1" applyAlignment="1">
      <alignment horizontal="center" vertical="center" wrapText="1"/>
    </xf>
    <xf numFmtId="0" fontId="143" fillId="40" borderId="0" xfId="1" applyFont="1" applyFill="1">
      <alignment vertical="center"/>
    </xf>
    <xf numFmtId="179" fontId="143" fillId="0" borderId="0" xfId="1" applyNumberFormat="1" applyFont="1">
      <alignment vertical="center"/>
    </xf>
    <xf numFmtId="176" fontId="150" fillId="0" borderId="0" xfId="1" applyNumberFormat="1" applyFont="1">
      <alignment vertical="center"/>
    </xf>
    <xf numFmtId="0" fontId="185" fillId="2" borderId="15" xfId="0" applyFont="1" applyFill="1" applyBorder="1">
      <alignment vertical="center"/>
    </xf>
    <xf numFmtId="0" fontId="186" fillId="2" borderId="15" xfId="0" applyFont="1" applyFill="1" applyBorder="1">
      <alignment vertical="center"/>
    </xf>
    <xf numFmtId="180" fontId="186" fillId="2" borderId="15" xfId="0" applyNumberFormat="1" applyFont="1" applyFill="1" applyBorder="1">
      <alignment vertical="center"/>
    </xf>
    <xf numFmtId="14" fontId="186" fillId="2" borderId="15" xfId="0" applyNumberFormat="1" applyFont="1" applyFill="1" applyBorder="1">
      <alignment vertical="center"/>
    </xf>
    <xf numFmtId="41" fontId="128" fillId="15" borderId="0" xfId="218" applyNumberFormat="1">
      <alignment vertical="center"/>
    </xf>
    <xf numFmtId="0" fontId="11" fillId="0" borderId="5" xfId="2503" applyBorder="1" applyAlignment="1">
      <alignment vertical="center" wrapText="1"/>
    </xf>
    <xf numFmtId="22" fontId="11" fillId="0" borderId="5" xfId="2503" applyNumberFormat="1" applyBorder="1" applyAlignment="1">
      <alignment vertical="center" wrapText="1"/>
    </xf>
    <xf numFmtId="14" fontId="11" fillId="0" borderId="5" xfId="2503" applyNumberFormat="1" applyBorder="1" applyAlignment="1">
      <alignment vertical="center" wrapText="1"/>
    </xf>
    <xf numFmtId="49" fontId="11" fillId="0" borderId="5" xfId="2503" applyNumberFormat="1" applyBorder="1" applyAlignment="1">
      <alignment vertical="center" wrapText="1"/>
    </xf>
    <xf numFmtId="179" fontId="143" fillId="41" borderId="0" xfId="1" applyNumberFormat="1" applyFont="1" applyFill="1">
      <alignment vertical="center"/>
    </xf>
    <xf numFmtId="179" fontId="128" fillId="41" borderId="0" xfId="218" applyNumberFormat="1" applyFill="1">
      <alignment vertical="center"/>
    </xf>
    <xf numFmtId="0" fontId="187" fillId="0" borderId="1" xfId="1" applyFont="1" applyBorder="1" applyAlignment="1">
      <alignment horizontal="center" vertical="center"/>
    </xf>
    <xf numFmtId="0" fontId="169" fillId="0" borderId="2" xfId="0" applyFont="1" applyBorder="1" applyAlignment="1">
      <alignment vertical="center" wrapText="1"/>
    </xf>
    <xf numFmtId="0" fontId="169" fillId="0" borderId="3" xfId="0" applyFont="1" applyBorder="1" applyAlignment="1">
      <alignment vertical="center" wrapText="1"/>
    </xf>
    <xf numFmtId="0" fontId="169" fillId="0" borderId="4" xfId="0" applyFont="1" applyBorder="1" applyAlignment="1">
      <alignment vertical="center" wrapText="1"/>
    </xf>
  </cellXfs>
  <cellStyles count="2723">
    <cellStyle name="20% - 강조색1" xfId="20" builtinId="30" customBuiltin="1"/>
    <cellStyle name="20% - 강조색1 10" xfId="218" xr:uid="{00000000-0005-0000-0000-000001000000}"/>
    <cellStyle name="20% - 강조색1 100" xfId="2018" xr:uid="{00000000-0005-0000-0000-000002000000}"/>
    <cellStyle name="20% - 강조색1 101" xfId="2038" xr:uid="{00000000-0005-0000-0000-000003000000}"/>
    <cellStyle name="20% - 강조색1 102" xfId="2058" xr:uid="{00000000-0005-0000-0000-000004000000}"/>
    <cellStyle name="20% - 강조색1 103" xfId="2078" xr:uid="{00000000-0005-0000-0000-000005000000}"/>
    <cellStyle name="20% - 강조색1 104" xfId="2098" xr:uid="{00000000-0005-0000-0000-000006000000}"/>
    <cellStyle name="20% - 강조색1 105" xfId="2118" xr:uid="{00000000-0005-0000-0000-000007000000}"/>
    <cellStyle name="20% - 강조색1 106" xfId="2138" xr:uid="{00000000-0005-0000-0000-000008000000}"/>
    <cellStyle name="20% - 강조색1 107" xfId="2158" xr:uid="{00000000-0005-0000-0000-000009000000}"/>
    <cellStyle name="20% - 강조색1 108" xfId="2178" xr:uid="{00000000-0005-0000-0000-00000A000000}"/>
    <cellStyle name="20% - 강조색1 109" xfId="2198" xr:uid="{00000000-0005-0000-0000-00000B000000}"/>
    <cellStyle name="20% - 강조색1 11" xfId="238" xr:uid="{00000000-0005-0000-0000-00000C000000}"/>
    <cellStyle name="20% - 강조색1 110" xfId="2218" xr:uid="{00000000-0005-0000-0000-00000D000000}"/>
    <cellStyle name="20% - 강조색1 111" xfId="2241" xr:uid="{00000000-0005-0000-0000-00000E000000}"/>
    <cellStyle name="20% - 강조색1 112" xfId="2263" xr:uid="{00000000-0005-0000-0000-00000F000000}"/>
    <cellStyle name="20% - 강조색1 113" xfId="2285" xr:uid="{00000000-0005-0000-0000-000010000000}"/>
    <cellStyle name="20% - 강조색1 114" xfId="2305" xr:uid="{9BCB9BC3-777E-4921-B90F-FEAB41B93A88}"/>
    <cellStyle name="20% - 강조색1 115" xfId="2325" xr:uid="{E6D629FB-8B23-46C4-AA45-B63BE201CEC5}"/>
    <cellStyle name="20% - 강조색1 116" xfId="2345" xr:uid="{7F508A1C-570F-4A40-A80B-58D83E0BF706}"/>
    <cellStyle name="20% - 강조색1 117" xfId="2365" xr:uid="{29D702C7-C9E5-4665-9641-07EDE446F128}"/>
    <cellStyle name="20% - 강조색1 118" xfId="2385" xr:uid="{FC3A14B8-595F-47F8-819D-B774CB668AAA}"/>
    <cellStyle name="20% - 강조색1 119" xfId="2405" xr:uid="{C5C3CC47-C461-4502-B8B1-3761960ABDC5}"/>
    <cellStyle name="20% - 강조색1 12" xfId="258" xr:uid="{00000000-0005-0000-0000-000011000000}"/>
    <cellStyle name="20% - 강조색1 120" xfId="2425" xr:uid="{7E51699E-61CB-4E5D-95B5-EA96DDFB76C0}"/>
    <cellStyle name="20% - 강조색1 121" xfId="2445" xr:uid="{ECA370F4-6382-44D2-B0EE-080B37E7270C}"/>
    <cellStyle name="20% - 강조색1 122" xfId="2465" xr:uid="{16204BF3-C080-4C12-840E-131AD9CF4997}"/>
    <cellStyle name="20% - 강조색1 123" xfId="2485" xr:uid="{A7F13889-5F1D-4407-9B41-1452E86731B9}"/>
    <cellStyle name="20% - 강조색1 124" xfId="2505" xr:uid="{859283D5-32DE-4056-BC38-D632D49DEBD6}"/>
    <cellStyle name="20% - 강조색1 125" xfId="2525" xr:uid="{9F736613-2520-454F-8A32-6E23F47DB707}"/>
    <cellStyle name="20% - 강조색1 126" xfId="2545" xr:uid="{BBF15FBD-1A6D-4218-97AD-759DAFBAC511}"/>
    <cellStyle name="20% - 강조색1 127" xfId="2565" xr:uid="{039479F2-A48E-40F8-A77F-CA9B078DC98B}"/>
    <cellStyle name="20% - 강조색1 128" xfId="2585" xr:uid="{FFBBF057-EA5D-4B6A-A96C-880254C64E98}"/>
    <cellStyle name="20% - 강조색1 129" xfId="2605" xr:uid="{19DCA135-6191-402D-A92A-8A419E15A0F6}"/>
    <cellStyle name="20% - 강조색1 13" xfId="278" xr:uid="{00000000-0005-0000-0000-000012000000}"/>
    <cellStyle name="20% - 강조색1 130" xfId="2625" xr:uid="{853A03BA-F559-4DB9-AECE-928A1A07422F}"/>
    <cellStyle name="20% - 강조색1 131" xfId="2645" xr:uid="{1686023C-2721-4453-B745-3FFC292E4F0D}"/>
    <cellStyle name="20% - 강조색1 132" xfId="2665" xr:uid="{83DD5005-24D8-47D3-A2E9-2ED0D81FED13}"/>
    <cellStyle name="20% - 강조색1 133" xfId="2685" xr:uid="{5436FE9A-2A65-4E91-A623-A946622E404F}"/>
    <cellStyle name="20% - 강조색1 134" xfId="2705" xr:uid="{7FC7B03D-6C8C-4BE7-B9F8-C5889ADDA03C}"/>
    <cellStyle name="20% - 강조색1 14" xfId="298" xr:uid="{00000000-0005-0000-0000-000013000000}"/>
    <cellStyle name="20% - 강조색1 15" xfId="318" xr:uid="{00000000-0005-0000-0000-000014000000}"/>
    <cellStyle name="20% - 강조색1 16" xfId="338" xr:uid="{00000000-0005-0000-0000-000015000000}"/>
    <cellStyle name="20% - 강조색1 17" xfId="358" xr:uid="{00000000-0005-0000-0000-000016000000}"/>
    <cellStyle name="20% - 강조색1 18" xfId="378" xr:uid="{00000000-0005-0000-0000-000017000000}"/>
    <cellStyle name="20% - 강조색1 19" xfId="398" xr:uid="{00000000-0005-0000-0000-000018000000}"/>
    <cellStyle name="20% - 강조색1 2" xfId="47" xr:uid="{00000000-0005-0000-0000-000019000000}"/>
    <cellStyle name="20% - 강조색1 20" xfId="418" xr:uid="{00000000-0005-0000-0000-00001A000000}"/>
    <cellStyle name="20% - 강조색1 21" xfId="438" xr:uid="{00000000-0005-0000-0000-00001B000000}"/>
    <cellStyle name="20% - 강조색1 22" xfId="458" xr:uid="{00000000-0005-0000-0000-00001C000000}"/>
    <cellStyle name="20% - 강조색1 23" xfId="478" xr:uid="{00000000-0005-0000-0000-00001D000000}"/>
    <cellStyle name="20% - 강조색1 24" xfId="498" xr:uid="{00000000-0005-0000-0000-00001E000000}"/>
    <cellStyle name="20% - 강조색1 25" xfId="518" xr:uid="{00000000-0005-0000-0000-00001F000000}"/>
    <cellStyle name="20% - 강조색1 26" xfId="538" xr:uid="{00000000-0005-0000-0000-000020000000}"/>
    <cellStyle name="20% - 강조색1 27" xfId="558" xr:uid="{00000000-0005-0000-0000-000021000000}"/>
    <cellStyle name="20% - 강조색1 28" xfId="578" xr:uid="{00000000-0005-0000-0000-000022000000}"/>
    <cellStyle name="20% - 강조색1 29" xfId="598" xr:uid="{00000000-0005-0000-0000-000023000000}"/>
    <cellStyle name="20% - 강조색1 3" xfId="73" xr:uid="{00000000-0005-0000-0000-000024000000}"/>
    <cellStyle name="20% - 강조색1 30" xfId="618" xr:uid="{00000000-0005-0000-0000-000025000000}"/>
    <cellStyle name="20% - 강조색1 31" xfId="638" xr:uid="{00000000-0005-0000-0000-000026000000}"/>
    <cellStyle name="20% - 강조색1 32" xfId="658" xr:uid="{00000000-0005-0000-0000-000027000000}"/>
    <cellStyle name="20% - 강조색1 33" xfId="678" xr:uid="{00000000-0005-0000-0000-000028000000}"/>
    <cellStyle name="20% - 강조색1 34" xfId="698" xr:uid="{00000000-0005-0000-0000-000029000000}"/>
    <cellStyle name="20% - 강조색1 35" xfId="718" xr:uid="{00000000-0005-0000-0000-00002A000000}"/>
    <cellStyle name="20% - 강조색1 36" xfId="738" xr:uid="{00000000-0005-0000-0000-00002B000000}"/>
    <cellStyle name="20% - 강조색1 37" xfId="758" xr:uid="{00000000-0005-0000-0000-00002C000000}"/>
    <cellStyle name="20% - 강조색1 38" xfId="778" xr:uid="{00000000-0005-0000-0000-00002D000000}"/>
    <cellStyle name="20% - 강조색1 39" xfId="798" xr:uid="{00000000-0005-0000-0000-00002E000000}"/>
    <cellStyle name="20% - 강조색1 4" xfId="98" xr:uid="{00000000-0005-0000-0000-00002F000000}"/>
    <cellStyle name="20% - 강조색1 40" xfId="818" xr:uid="{00000000-0005-0000-0000-000030000000}"/>
    <cellStyle name="20% - 강조색1 41" xfId="838" xr:uid="{00000000-0005-0000-0000-000031000000}"/>
    <cellStyle name="20% - 강조색1 42" xfId="858" xr:uid="{00000000-0005-0000-0000-000032000000}"/>
    <cellStyle name="20% - 강조색1 43" xfId="878" xr:uid="{00000000-0005-0000-0000-000033000000}"/>
    <cellStyle name="20% - 강조색1 44" xfId="898" xr:uid="{00000000-0005-0000-0000-000034000000}"/>
    <cellStyle name="20% - 강조색1 45" xfId="918" xr:uid="{00000000-0005-0000-0000-000035000000}"/>
    <cellStyle name="20% - 강조색1 46" xfId="938" xr:uid="{00000000-0005-0000-0000-000036000000}"/>
    <cellStyle name="20% - 강조색1 47" xfId="958" xr:uid="{00000000-0005-0000-0000-000037000000}"/>
    <cellStyle name="20% - 강조색1 48" xfId="978" xr:uid="{00000000-0005-0000-0000-000038000000}"/>
    <cellStyle name="20% - 강조색1 49" xfId="998" xr:uid="{00000000-0005-0000-0000-000039000000}"/>
    <cellStyle name="20% - 강조색1 5" xfId="118" xr:uid="{00000000-0005-0000-0000-00003A000000}"/>
    <cellStyle name="20% - 강조색1 50" xfId="1018" xr:uid="{00000000-0005-0000-0000-00003B000000}"/>
    <cellStyle name="20% - 강조색1 51" xfId="1038" xr:uid="{00000000-0005-0000-0000-00003C000000}"/>
    <cellStyle name="20% - 강조색1 52" xfId="1058" xr:uid="{00000000-0005-0000-0000-00003D000000}"/>
    <cellStyle name="20% - 강조색1 53" xfId="1078" xr:uid="{00000000-0005-0000-0000-00003E000000}"/>
    <cellStyle name="20% - 강조색1 54" xfId="1098" xr:uid="{00000000-0005-0000-0000-00003F000000}"/>
    <cellStyle name="20% - 강조색1 55" xfId="1118" xr:uid="{00000000-0005-0000-0000-000040000000}"/>
    <cellStyle name="20% - 강조색1 56" xfId="1138" xr:uid="{00000000-0005-0000-0000-000041000000}"/>
    <cellStyle name="20% - 강조색1 57" xfId="1158" xr:uid="{00000000-0005-0000-0000-000042000000}"/>
    <cellStyle name="20% - 강조색1 58" xfId="1178" xr:uid="{00000000-0005-0000-0000-000043000000}"/>
    <cellStyle name="20% - 강조색1 59" xfId="1198" xr:uid="{00000000-0005-0000-0000-000044000000}"/>
    <cellStyle name="20% - 강조색1 6" xfId="138" xr:uid="{00000000-0005-0000-0000-000045000000}"/>
    <cellStyle name="20% - 강조색1 60" xfId="1218" xr:uid="{00000000-0005-0000-0000-000046000000}"/>
    <cellStyle name="20% - 강조색1 61" xfId="1238" xr:uid="{00000000-0005-0000-0000-000047000000}"/>
    <cellStyle name="20% - 강조색1 62" xfId="1258" xr:uid="{00000000-0005-0000-0000-000048000000}"/>
    <cellStyle name="20% - 강조색1 63" xfId="1278" xr:uid="{00000000-0005-0000-0000-000049000000}"/>
    <cellStyle name="20% - 강조색1 64" xfId="1298" xr:uid="{00000000-0005-0000-0000-00004A000000}"/>
    <cellStyle name="20% - 강조색1 65" xfId="1318" xr:uid="{00000000-0005-0000-0000-00004B000000}"/>
    <cellStyle name="20% - 강조색1 66" xfId="1338" xr:uid="{00000000-0005-0000-0000-00004C000000}"/>
    <cellStyle name="20% - 강조색1 67" xfId="1358" xr:uid="{00000000-0005-0000-0000-00004D000000}"/>
    <cellStyle name="20% - 강조색1 68" xfId="1378" xr:uid="{00000000-0005-0000-0000-00004E000000}"/>
    <cellStyle name="20% - 강조색1 69" xfId="1398" xr:uid="{00000000-0005-0000-0000-00004F000000}"/>
    <cellStyle name="20% - 강조색1 7" xfId="158" xr:uid="{00000000-0005-0000-0000-000050000000}"/>
    <cellStyle name="20% - 강조색1 70" xfId="1418" xr:uid="{00000000-0005-0000-0000-000051000000}"/>
    <cellStyle name="20% - 강조색1 71" xfId="1438" xr:uid="{00000000-0005-0000-0000-000052000000}"/>
    <cellStyle name="20% - 강조색1 72" xfId="1458" xr:uid="{00000000-0005-0000-0000-000053000000}"/>
    <cellStyle name="20% - 강조색1 73" xfId="1478" xr:uid="{00000000-0005-0000-0000-000054000000}"/>
    <cellStyle name="20% - 강조색1 74" xfId="1498" xr:uid="{00000000-0005-0000-0000-000055000000}"/>
    <cellStyle name="20% - 강조색1 75" xfId="1518" xr:uid="{00000000-0005-0000-0000-000056000000}"/>
    <cellStyle name="20% - 강조색1 76" xfId="1538" xr:uid="{00000000-0005-0000-0000-000057000000}"/>
    <cellStyle name="20% - 강조색1 77" xfId="1558" xr:uid="{00000000-0005-0000-0000-000058000000}"/>
    <cellStyle name="20% - 강조색1 78" xfId="1578" xr:uid="{00000000-0005-0000-0000-000059000000}"/>
    <cellStyle name="20% - 강조색1 79" xfId="1598" xr:uid="{00000000-0005-0000-0000-00005A000000}"/>
    <cellStyle name="20% - 강조색1 8" xfId="178" xr:uid="{00000000-0005-0000-0000-00005B000000}"/>
    <cellStyle name="20% - 강조색1 80" xfId="1618" xr:uid="{00000000-0005-0000-0000-00005C000000}"/>
    <cellStyle name="20% - 강조색1 81" xfId="1638" xr:uid="{00000000-0005-0000-0000-00005D000000}"/>
    <cellStyle name="20% - 강조색1 82" xfId="1658" xr:uid="{00000000-0005-0000-0000-00005E000000}"/>
    <cellStyle name="20% - 강조색1 83" xfId="1678" xr:uid="{00000000-0005-0000-0000-00005F000000}"/>
    <cellStyle name="20% - 강조색1 84" xfId="1698" xr:uid="{00000000-0005-0000-0000-000060000000}"/>
    <cellStyle name="20% - 강조색1 85" xfId="1718" xr:uid="{00000000-0005-0000-0000-000061000000}"/>
    <cellStyle name="20% - 강조색1 86" xfId="1738" xr:uid="{00000000-0005-0000-0000-000062000000}"/>
    <cellStyle name="20% - 강조색1 87" xfId="1758" xr:uid="{00000000-0005-0000-0000-000063000000}"/>
    <cellStyle name="20% - 강조색1 88" xfId="1778" xr:uid="{00000000-0005-0000-0000-000064000000}"/>
    <cellStyle name="20% - 강조색1 89" xfId="1798" xr:uid="{00000000-0005-0000-0000-000065000000}"/>
    <cellStyle name="20% - 강조색1 9" xfId="198" xr:uid="{00000000-0005-0000-0000-000066000000}"/>
    <cellStyle name="20% - 강조색1 90" xfId="1818" xr:uid="{00000000-0005-0000-0000-000067000000}"/>
    <cellStyle name="20% - 강조색1 91" xfId="1838" xr:uid="{00000000-0005-0000-0000-000068000000}"/>
    <cellStyle name="20% - 강조색1 92" xfId="1858" xr:uid="{00000000-0005-0000-0000-000069000000}"/>
    <cellStyle name="20% - 강조색1 93" xfId="1878" xr:uid="{00000000-0005-0000-0000-00006A000000}"/>
    <cellStyle name="20% - 강조색1 94" xfId="1898" xr:uid="{00000000-0005-0000-0000-00006B000000}"/>
    <cellStyle name="20% - 강조색1 95" xfId="1918" xr:uid="{00000000-0005-0000-0000-00006C000000}"/>
    <cellStyle name="20% - 강조색1 96" xfId="1938" xr:uid="{00000000-0005-0000-0000-00006D000000}"/>
    <cellStyle name="20% - 강조색1 97" xfId="1958" xr:uid="{00000000-0005-0000-0000-00006E000000}"/>
    <cellStyle name="20% - 강조색1 98" xfId="1978" xr:uid="{00000000-0005-0000-0000-00006F000000}"/>
    <cellStyle name="20% - 강조색1 99" xfId="1998" xr:uid="{00000000-0005-0000-0000-000070000000}"/>
    <cellStyle name="20% - 강조색2" xfId="24" builtinId="34" customBuiltin="1"/>
    <cellStyle name="20% - 강조색2 10" xfId="221" xr:uid="{00000000-0005-0000-0000-000072000000}"/>
    <cellStyle name="20% - 강조색2 100" xfId="2021" xr:uid="{00000000-0005-0000-0000-000073000000}"/>
    <cellStyle name="20% - 강조색2 101" xfId="2041" xr:uid="{00000000-0005-0000-0000-000074000000}"/>
    <cellStyle name="20% - 강조색2 102" xfId="2061" xr:uid="{00000000-0005-0000-0000-000075000000}"/>
    <cellStyle name="20% - 강조색2 103" xfId="2081" xr:uid="{00000000-0005-0000-0000-000076000000}"/>
    <cellStyle name="20% - 강조색2 104" xfId="2101" xr:uid="{00000000-0005-0000-0000-000077000000}"/>
    <cellStyle name="20% - 강조색2 105" xfId="2121" xr:uid="{00000000-0005-0000-0000-000078000000}"/>
    <cellStyle name="20% - 강조색2 106" xfId="2141" xr:uid="{00000000-0005-0000-0000-000079000000}"/>
    <cellStyle name="20% - 강조색2 107" xfId="2161" xr:uid="{00000000-0005-0000-0000-00007A000000}"/>
    <cellStyle name="20% - 강조색2 108" xfId="2181" xr:uid="{00000000-0005-0000-0000-00007B000000}"/>
    <cellStyle name="20% - 강조색2 109" xfId="2201" xr:uid="{00000000-0005-0000-0000-00007C000000}"/>
    <cellStyle name="20% - 강조색2 11" xfId="241" xr:uid="{00000000-0005-0000-0000-00007D000000}"/>
    <cellStyle name="20% - 강조색2 110" xfId="2221" xr:uid="{00000000-0005-0000-0000-00007E000000}"/>
    <cellStyle name="20% - 강조색2 111" xfId="2244" xr:uid="{00000000-0005-0000-0000-00007F000000}"/>
    <cellStyle name="20% - 강조색2 112" xfId="2266" xr:uid="{00000000-0005-0000-0000-000080000000}"/>
    <cellStyle name="20% - 강조색2 113" xfId="2288" xr:uid="{00000000-0005-0000-0000-000081000000}"/>
    <cellStyle name="20% - 강조색2 114" xfId="2308" xr:uid="{10BCB56C-61C1-4BC3-9BAD-B3AB5688728D}"/>
    <cellStyle name="20% - 강조색2 115" xfId="2328" xr:uid="{918EE66A-E54B-4A97-A3F1-22F97723AC48}"/>
    <cellStyle name="20% - 강조색2 116" xfId="2348" xr:uid="{C3128C57-1AA5-43A3-9010-6BDBF41AA241}"/>
    <cellStyle name="20% - 강조색2 117" xfId="2368" xr:uid="{28A376BB-92D7-4F7D-86DD-9149BEBB4E50}"/>
    <cellStyle name="20% - 강조색2 118" xfId="2388" xr:uid="{7679D1EA-F31A-432D-AF04-27CC4188F4F2}"/>
    <cellStyle name="20% - 강조색2 119" xfId="2408" xr:uid="{8200CA23-5386-4E0D-AFCD-95818F836433}"/>
    <cellStyle name="20% - 강조색2 12" xfId="261" xr:uid="{00000000-0005-0000-0000-000082000000}"/>
    <cellStyle name="20% - 강조색2 120" xfId="2428" xr:uid="{D54E05FF-5087-48FB-8889-1C90719ACE40}"/>
    <cellStyle name="20% - 강조색2 121" xfId="2448" xr:uid="{92FBB96A-9192-42B6-BCC4-C1BA92144CB5}"/>
    <cellStyle name="20% - 강조색2 122" xfId="2468" xr:uid="{E6F27409-C1C7-4553-9FEF-2A97649AF2E3}"/>
    <cellStyle name="20% - 강조색2 123" xfId="2488" xr:uid="{E1317B3F-7486-4081-BD11-8BF7E4F6599B}"/>
    <cellStyle name="20% - 강조색2 124" xfId="2508" xr:uid="{61652688-8010-47F1-87FB-1146612031B2}"/>
    <cellStyle name="20% - 강조색2 125" xfId="2528" xr:uid="{A093724C-4FAE-4D23-BB20-5B46B105C585}"/>
    <cellStyle name="20% - 강조색2 126" xfId="2548" xr:uid="{6B2F5FF5-B90D-4046-8094-8D888736599A}"/>
    <cellStyle name="20% - 강조색2 127" xfId="2568" xr:uid="{405F9CEA-78CC-4B42-8DD7-FF6DD3CEA47B}"/>
    <cellStyle name="20% - 강조색2 128" xfId="2588" xr:uid="{69E6B878-FBDB-4F62-AFA6-63D2E84C69D3}"/>
    <cellStyle name="20% - 강조색2 129" xfId="2608" xr:uid="{19CB4266-CCB1-48CE-8696-50C35852310E}"/>
    <cellStyle name="20% - 강조색2 13" xfId="281" xr:uid="{00000000-0005-0000-0000-000083000000}"/>
    <cellStyle name="20% - 강조색2 130" xfId="2628" xr:uid="{C8538F85-C8FA-40F3-9D11-60D61EAFA5A4}"/>
    <cellStyle name="20% - 강조색2 131" xfId="2648" xr:uid="{3D1638D9-6DAE-476E-B230-DA6EAF81FF1E}"/>
    <cellStyle name="20% - 강조색2 132" xfId="2668" xr:uid="{769E4349-6305-4ABD-B4E7-51DA1DA9C569}"/>
    <cellStyle name="20% - 강조색2 133" xfId="2688" xr:uid="{3E028CA5-594A-4DB2-AF86-C146F40D5A22}"/>
    <cellStyle name="20% - 강조색2 134" xfId="2708" xr:uid="{8CA4AA8E-E888-4C7F-8266-2B11A0783F76}"/>
    <cellStyle name="20% - 강조색2 14" xfId="301" xr:uid="{00000000-0005-0000-0000-000084000000}"/>
    <cellStyle name="20% - 강조색2 15" xfId="321" xr:uid="{00000000-0005-0000-0000-000085000000}"/>
    <cellStyle name="20% - 강조색2 16" xfId="341" xr:uid="{00000000-0005-0000-0000-000086000000}"/>
    <cellStyle name="20% - 강조색2 17" xfId="361" xr:uid="{00000000-0005-0000-0000-000087000000}"/>
    <cellStyle name="20% - 강조색2 18" xfId="381" xr:uid="{00000000-0005-0000-0000-000088000000}"/>
    <cellStyle name="20% - 강조색2 19" xfId="401" xr:uid="{00000000-0005-0000-0000-000089000000}"/>
    <cellStyle name="20% - 강조색2 2" xfId="49" xr:uid="{00000000-0005-0000-0000-00008A000000}"/>
    <cellStyle name="20% - 강조색2 20" xfId="421" xr:uid="{00000000-0005-0000-0000-00008B000000}"/>
    <cellStyle name="20% - 강조색2 21" xfId="441" xr:uid="{00000000-0005-0000-0000-00008C000000}"/>
    <cellStyle name="20% - 강조색2 22" xfId="461" xr:uid="{00000000-0005-0000-0000-00008D000000}"/>
    <cellStyle name="20% - 강조색2 23" xfId="481" xr:uid="{00000000-0005-0000-0000-00008E000000}"/>
    <cellStyle name="20% - 강조색2 24" xfId="501" xr:uid="{00000000-0005-0000-0000-00008F000000}"/>
    <cellStyle name="20% - 강조색2 25" xfId="521" xr:uid="{00000000-0005-0000-0000-000090000000}"/>
    <cellStyle name="20% - 강조색2 26" xfId="541" xr:uid="{00000000-0005-0000-0000-000091000000}"/>
    <cellStyle name="20% - 강조색2 27" xfId="561" xr:uid="{00000000-0005-0000-0000-000092000000}"/>
    <cellStyle name="20% - 강조색2 28" xfId="581" xr:uid="{00000000-0005-0000-0000-000093000000}"/>
    <cellStyle name="20% - 강조색2 29" xfId="601" xr:uid="{00000000-0005-0000-0000-000094000000}"/>
    <cellStyle name="20% - 강조색2 3" xfId="77" xr:uid="{00000000-0005-0000-0000-000095000000}"/>
    <cellStyle name="20% - 강조색2 30" xfId="621" xr:uid="{00000000-0005-0000-0000-000096000000}"/>
    <cellStyle name="20% - 강조색2 31" xfId="641" xr:uid="{00000000-0005-0000-0000-000097000000}"/>
    <cellStyle name="20% - 강조색2 32" xfId="661" xr:uid="{00000000-0005-0000-0000-000098000000}"/>
    <cellStyle name="20% - 강조색2 33" xfId="681" xr:uid="{00000000-0005-0000-0000-000099000000}"/>
    <cellStyle name="20% - 강조색2 34" xfId="701" xr:uid="{00000000-0005-0000-0000-00009A000000}"/>
    <cellStyle name="20% - 강조색2 35" xfId="721" xr:uid="{00000000-0005-0000-0000-00009B000000}"/>
    <cellStyle name="20% - 강조색2 36" xfId="741" xr:uid="{00000000-0005-0000-0000-00009C000000}"/>
    <cellStyle name="20% - 강조색2 37" xfId="761" xr:uid="{00000000-0005-0000-0000-00009D000000}"/>
    <cellStyle name="20% - 강조색2 38" xfId="781" xr:uid="{00000000-0005-0000-0000-00009E000000}"/>
    <cellStyle name="20% - 강조색2 39" xfId="801" xr:uid="{00000000-0005-0000-0000-00009F000000}"/>
    <cellStyle name="20% - 강조색2 4" xfId="101" xr:uid="{00000000-0005-0000-0000-0000A0000000}"/>
    <cellStyle name="20% - 강조색2 40" xfId="821" xr:uid="{00000000-0005-0000-0000-0000A1000000}"/>
    <cellStyle name="20% - 강조색2 41" xfId="841" xr:uid="{00000000-0005-0000-0000-0000A2000000}"/>
    <cellStyle name="20% - 강조색2 42" xfId="861" xr:uid="{00000000-0005-0000-0000-0000A3000000}"/>
    <cellStyle name="20% - 강조색2 43" xfId="881" xr:uid="{00000000-0005-0000-0000-0000A4000000}"/>
    <cellStyle name="20% - 강조색2 44" xfId="901" xr:uid="{00000000-0005-0000-0000-0000A5000000}"/>
    <cellStyle name="20% - 강조색2 45" xfId="921" xr:uid="{00000000-0005-0000-0000-0000A6000000}"/>
    <cellStyle name="20% - 강조색2 46" xfId="941" xr:uid="{00000000-0005-0000-0000-0000A7000000}"/>
    <cellStyle name="20% - 강조색2 47" xfId="961" xr:uid="{00000000-0005-0000-0000-0000A8000000}"/>
    <cellStyle name="20% - 강조색2 48" xfId="981" xr:uid="{00000000-0005-0000-0000-0000A9000000}"/>
    <cellStyle name="20% - 강조색2 49" xfId="1001" xr:uid="{00000000-0005-0000-0000-0000AA000000}"/>
    <cellStyle name="20% - 강조색2 5" xfId="121" xr:uid="{00000000-0005-0000-0000-0000AB000000}"/>
    <cellStyle name="20% - 강조색2 50" xfId="1021" xr:uid="{00000000-0005-0000-0000-0000AC000000}"/>
    <cellStyle name="20% - 강조색2 51" xfId="1041" xr:uid="{00000000-0005-0000-0000-0000AD000000}"/>
    <cellStyle name="20% - 강조색2 52" xfId="1061" xr:uid="{00000000-0005-0000-0000-0000AE000000}"/>
    <cellStyle name="20% - 강조색2 53" xfId="1081" xr:uid="{00000000-0005-0000-0000-0000AF000000}"/>
    <cellStyle name="20% - 강조색2 54" xfId="1101" xr:uid="{00000000-0005-0000-0000-0000B0000000}"/>
    <cellStyle name="20% - 강조색2 55" xfId="1121" xr:uid="{00000000-0005-0000-0000-0000B1000000}"/>
    <cellStyle name="20% - 강조색2 56" xfId="1141" xr:uid="{00000000-0005-0000-0000-0000B2000000}"/>
    <cellStyle name="20% - 강조색2 57" xfId="1161" xr:uid="{00000000-0005-0000-0000-0000B3000000}"/>
    <cellStyle name="20% - 강조색2 58" xfId="1181" xr:uid="{00000000-0005-0000-0000-0000B4000000}"/>
    <cellStyle name="20% - 강조색2 59" xfId="1201" xr:uid="{00000000-0005-0000-0000-0000B5000000}"/>
    <cellStyle name="20% - 강조색2 6" xfId="141" xr:uid="{00000000-0005-0000-0000-0000B6000000}"/>
    <cellStyle name="20% - 강조색2 60" xfId="1221" xr:uid="{00000000-0005-0000-0000-0000B7000000}"/>
    <cellStyle name="20% - 강조색2 61" xfId="1241" xr:uid="{00000000-0005-0000-0000-0000B8000000}"/>
    <cellStyle name="20% - 강조색2 62" xfId="1261" xr:uid="{00000000-0005-0000-0000-0000B9000000}"/>
    <cellStyle name="20% - 강조색2 63" xfId="1281" xr:uid="{00000000-0005-0000-0000-0000BA000000}"/>
    <cellStyle name="20% - 강조색2 64" xfId="1301" xr:uid="{00000000-0005-0000-0000-0000BB000000}"/>
    <cellStyle name="20% - 강조색2 65" xfId="1321" xr:uid="{00000000-0005-0000-0000-0000BC000000}"/>
    <cellStyle name="20% - 강조색2 66" xfId="1341" xr:uid="{00000000-0005-0000-0000-0000BD000000}"/>
    <cellStyle name="20% - 강조색2 67" xfId="1361" xr:uid="{00000000-0005-0000-0000-0000BE000000}"/>
    <cellStyle name="20% - 강조색2 68" xfId="1381" xr:uid="{00000000-0005-0000-0000-0000BF000000}"/>
    <cellStyle name="20% - 강조색2 69" xfId="1401" xr:uid="{00000000-0005-0000-0000-0000C0000000}"/>
    <cellStyle name="20% - 강조색2 7" xfId="161" xr:uid="{00000000-0005-0000-0000-0000C1000000}"/>
    <cellStyle name="20% - 강조색2 70" xfId="1421" xr:uid="{00000000-0005-0000-0000-0000C2000000}"/>
    <cellStyle name="20% - 강조색2 71" xfId="1441" xr:uid="{00000000-0005-0000-0000-0000C3000000}"/>
    <cellStyle name="20% - 강조색2 72" xfId="1461" xr:uid="{00000000-0005-0000-0000-0000C4000000}"/>
    <cellStyle name="20% - 강조색2 73" xfId="1481" xr:uid="{00000000-0005-0000-0000-0000C5000000}"/>
    <cellStyle name="20% - 강조색2 74" xfId="1501" xr:uid="{00000000-0005-0000-0000-0000C6000000}"/>
    <cellStyle name="20% - 강조색2 75" xfId="1521" xr:uid="{00000000-0005-0000-0000-0000C7000000}"/>
    <cellStyle name="20% - 강조색2 76" xfId="1541" xr:uid="{00000000-0005-0000-0000-0000C8000000}"/>
    <cellStyle name="20% - 강조색2 77" xfId="1561" xr:uid="{00000000-0005-0000-0000-0000C9000000}"/>
    <cellStyle name="20% - 강조색2 78" xfId="1581" xr:uid="{00000000-0005-0000-0000-0000CA000000}"/>
    <cellStyle name="20% - 강조색2 79" xfId="1601" xr:uid="{00000000-0005-0000-0000-0000CB000000}"/>
    <cellStyle name="20% - 강조색2 8" xfId="181" xr:uid="{00000000-0005-0000-0000-0000CC000000}"/>
    <cellStyle name="20% - 강조색2 80" xfId="1621" xr:uid="{00000000-0005-0000-0000-0000CD000000}"/>
    <cellStyle name="20% - 강조색2 81" xfId="1641" xr:uid="{00000000-0005-0000-0000-0000CE000000}"/>
    <cellStyle name="20% - 강조색2 82" xfId="1661" xr:uid="{00000000-0005-0000-0000-0000CF000000}"/>
    <cellStyle name="20% - 강조색2 83" xfId="1681" xr:uid="{00000000-0005-0000-0000-0000D0000000}"/>
    <cellStyle name="20% - 강조색2 84" xfId="1701" xr:uid="{00000000-0005-0000-0000-0000D1000000}"/>
    <cellStyle name="20% - 강조색2 85" xfId="1721" xr:uid="{00000000-0005-0000-0000-0000D2000000}"/>
    <cellStyle name="20% - 강조색2 86" xfId="1741" xr:uid="{00000000-0005-0000-0000-0000D3000000}"/>
    <cellStyle name="20% - 강조색2 87" xfId="1761" xr:uid="{00000000-0005-0000-0000-0000D4000000}"/>
    <cellStyle name="20% - 강조색2 88" xfId="1781" xr:uid="{00000000-0005-0000-0000-0000D5000000}"/>
    <cellStyle name="20% - 강조색2 89" xfId="1801" xr:uid="{00000000-0005-0000-0000-0000D6000000}"/>
    <cellStyle name="20% - 강조색2 9" xfId="201" xr:uid="{00000000-0005-0000-0000-0000D7000000}"/>
    <cellStyle name="20% - 강조색2 90" xfId="1821" xr:uid="{00000000-0005-0000-0000-0000D8000000}"/>
    <cellStyle name="20% - 강조색2 91" xfId="1841" xr:uid="{00000000-0005-0000-0000-0000D9000000}"/>
    <cellStyle name="20% - 강조색2 92" xfId="1861" xr:uid="{00000000-0005-0000-0000-0000DA000000}"/>
    <cellStyle name="20% - 강조색2 93" xfId="1881" xr:uid="{00000000-0005-0000-0000-0000DB000000}"/>
    <cellStyle name="20% - 강조색2 94" xfId="1901" xr:uid="{00000000-0005-0000-0000-0000DC000000}"/>
    <cellStyle name="20% - 강조색2 95" xfId="1921" xr:uid="{00000000-0005-0000-0000-0000DD000000}"/>
    <cellStyle name="20% - 강조색2 96" xfId="1941" xr:uid="{00000000-0005-0000-0000-0000DE000000}"/>
    <cellStyle name="20% - 강조색2 97" xfId="1961" xr:uid="{00000000-0005-0000-0000-0000DF000000}"/>
    <cellStyle name="20% - 강조색2 98" xfId="1981" xr:uid="{00000000-0005-0000-0000-0000E0000000}"/>
    <cellStyle name="20% - 강조색2 99" xfId="2001" xr:uid="{00000000-0005-0000-0000-0000E1000000}"/>
    <cellStyle name="20% - 강조색3" xfId="28" builtinId="38" customBuiltin="1"/>
    <cellStyle name="20% - 강조색3 10" xfId="224" xr:uid="{00000000-0005-0000-0000-0000E3000000}"/>
    <cellStyle name="20% - 강조색3 100" xfId="2024" xr:uid="{00000000-0005-0000-0000-0000E4000000}"/>
    <cellStyle name="20% - 강조색3 101" xfId="2044" xr:uid="{00000000-0005-0000-0000-0000E5000000}"/>
    <cellStyle name="20% - 강조색3 102" xfId="2064" xr:uid="{00000000-0005-0000-0000-0000E6000000}"/>
    <cellStyle name="20% - 강조색3 103" xfId="2084" xr:uid="{00000000-0005-0000-0000-0000E7000000}"/>
    <cellStyle name="20% - 강조색3 104" xfId="2104" xr:uid="{00000000-0005-0000-0000-0000E8000000}"/>
    <cellStyle name="20% - 강조색3 105" xfId="2124" xr:uid="{00000000-0005-0000-0000-0000E9000000}"/>
    <cellStyle name="20% - 강조색3 106" xfId="2144" xr:uid="{00000000-0005-0000-0000-0000EA000000}"/>
    <cellStyle name="20% - 강조색3 107" xfId="2164" xr:uid="{00000000-0005-0000-0000-0000EB000000}"/>
    <cellStyle name="20% - 강조색3 108" xfId="2184" xr:uid="{00000000-0005-0000-0000-0000EC000000}"/>
    <cellStyle name="20% - 강조색3 109" xfId="2204" xr:uid="{00000000-0005-0000-0000-0000ED000000}"/>
    <cellStyle name="20% - 강조색3 11" xfId="244" xr:uid="{00000000-0005-0000-0000-0000EE000000}"/>
    <cellStyle name="20% - 강조색3 110" xfId="2224" xr:uid="{00000000-0005-0000-0000-0000EF000000}"/>
    <cellStyle name="20% - 강조색3 111" xfId="2247" xr:uid="{00000000-0005-0000-0000-0000F0000000}"/>
    <cellStyle name="20% - 강조색3 112" xfId="2269" xr:uid="{00000000-0005-0000-0000-0000F1000000}"/>
    <cellStyle name="20% - 강조색3 113" xfId="2291" xr:uid="{00000000-0005-0000-0000-0000F2000000}"/>
    <cellStyle name="20% - 강조색3 114" xfId="2311" xr:uid="{86A5FE3B-C28B-44C4-99DD-D44A203EB331}"/>
    <cellStyle name="20% - 강조색3 115" xfId="2331" xr:uid="{BD92F3AB-2F71-43A4-948B-C5D5C5A1CC9C}"/>
    <cellStyle name="20% - 강조색3 116" xfId="2351" xr:uid="{BA486A7B-BBDA-44CD-9D39-23D45CE4A1C1}"/>
    <cellStyle name="20% - 강조색3 117" xfId="2371" xr:uid="{C7001F34-6E28-4AE1-AEE9-D7628022226A}"/>
    <cellStyle name="20% - 강조색3 118" xfId="2391" xr:uid="{4966AA7F-7B6A-4707-A102-AF9E1C73F0AA}"/>
    <cellStyle name="20% - 강조색3 119" xfId="2411" xr:uid="{453DCD8D-F8F3-4881-A073-34CACB9E3BB2}"/>
    <cellStyle name="20% - 강조색3 12" xfId="264" xr:uid="{00000000-0005-0000-0000-0000F3000000}"/>
    <cellStyle name="20% - 강조색3 120" xfId="2431" xr:uid="{60A44D8D-AD6A-4129-96A9-2C104382F64D}"/>
    <cellStyle name="20% - 강조색3 121" xfId="2451" xr:uid="{3829C4E5-AC12-447C-BAA2-9D0157642DE5}"/>
    <cellStyle name="20% - 강조색3 122" xfId="2471" xr:uid="{3422EC34-4EEB-4485-80B1-B9C685E13589}"/>
    <cellStyle name="20% - 강조색3 123" xfId="2491" xr:uid="{B111B053-E614-49BB-9498-6A66C23A3116}"/>
    <cellStyle name="20% - 강조색3 124" xfId="2511" xr:uid="{FBDB163B-8B9C-4DF9-A312-ECB0F5E2027F}"/>
    <cellStyle name="20% - 강조색3 125" xfId="2531" xr:uid="{615DA7EF-4750-41C1-9792-025E4AB5519B}"/>
    <cellStyle name="20% - 강조색3 126" xfId="2551" xr:uid="{0D20EE57-0A27-4A9B-8668-AB6B350A092F}"/>
    <cellStyle name="20% - 강조색3 127" xfId="2571" xr:uid="{57F93305-404C-4A33-A4A9-B6E749880EFE}"/>
    <cellStyle name="20% - 강조색3 128" xfId="2591" xr:uid="{45CA6172-4990-4ABD-9302-A547F89C13A6}"/>
    <cellStyle name="20% - 강조색3 129" xfId="2611" xr:uid="{CA365971-DAAB-479F-8736-861239578F2D}"/>
    <cellStyle name="20% - 강조색3 13" xfId="284" xr:uid="{00000000-0005-0000-0000-0000F4000000}"/>
    <cellStyle name="20% - 강조색3 130" xfId="2631" xr:uid="{8B94F6D3-36DD-440E-BAF1-A070695B7CA1}"/>
    <cellStyle name="20% - 강조색3 131" xfId="2651" xr:uid="{3E6510BE-7A19-4D30-ADFD-C0E8AA2BB698}"/>
    <cellStyle name="20% - 강조색3 132" xfId="2671" xr:uid="{520F8B7C-56DD-44A3-8229-4A6551479DC0}"/>
    <cellStyle name="20% - 강조색3 133" xfId="2691" xr:uid="{7C4E4675-BE60-40F4-848E-10D1F05EB2B1}"/>
    <cellStyle name="20% - 강조색3 134" xfId="2711" xr:uid="{0CC52927-BB8E-4A77-B148-74C663F636C1}"/>
    <cellStyle name="20% - 강조색3 14" xfId="304" xr:uid="{00000000-0005-0000-0000-0000F5000000}"/>
    <cellStyle name="20% - 강조색3 15" xfId="324" xr:uid="{00000000-0005-0000-0000-0000F6000000}"/>
    <cellStyle name="20% - 강조색3 16" xfId="344" xr:uid="{00000000-0005-0000-0000-0000F7000000}"/>
    <cellStyle name="20% - 강조색3 17" xfId="364" xr:uid="{00000000-0005-0000-0000-0000F8000000}"/>
    <cellStyle name="20% - 강조색3 18" xfId="384" xr:uid="{00000000-0005-0000-0000-0000F9000000}"/>
    <cellStyle name="20% - 강조색3 19" xfId="404" xr:uid="{00000000-0005-0000-0000-0000FA000000}"/>
    <cellStyle name="20% - 강조색3 2" xfId="51" xr:uid="{00000000-0005-0000-0000-0000FB000000}"/>
    <cellStyle name="20% - 강조색3 20" xfId="424" xr:uid="{00000000-0005-0000-0000-0000FC000000}"/>
    <cellStyle name="20% - 강조색3 21" xfId="444" xr:uid="{00000000-0005-0000-0000-0000FD000000}"/>
    <cellStyle name="20% - 강조색3 22" xfId="464" xr:uid="{00000000-0005-0000-0000-0000FE000000}"/>
    <cellStyle name="20% - 강조색3 23" xfId="484" xr:uid="{00000000-0005-0000-0000-0000FF000000}"/>
    <cellStyle name="20% - 강조색3 24" xfId="504" xr:uid="{00000000-0005-0000-0000-000000010000}"/>
    <cellStyle name="20% - 강조색3 25" xfId="524" xr:uid="{00000000-0005-0000-0000-000001010000}"/>
    <cellStyle name="20% - 강조색3 26" xfId="544" xr:uid="{00000000-0005-0000-0000-000002010000}"/>
    <cellStyle name="20% - 강조색3 27" xfId="564" xr:uid="{00000000-0005-0000-0000-000003010000}"/>
    <cellStyle name="20% - 강조색3 28" xfId="584" xr:uid="{00000000-0005-0000-0000-000004010000}"/>
    <cellStyle name="20% - 강조색3 29" xfId="604" xr:uid="{00000000-0005-0000-0000-000005010000}"/>
    <cellStyle name="20% - 강조색3 3" xfId="81" xr:uid="{00000000-0005-0000-0000-000006010000}"/>
    <cellStyle name="20% - 강조색3 30" xfId="624" xr:uid="{00000000-0005-0000-0000-000007010000}"/>
    <cellStyle name="20% - 강조색3 31" xfId="644" xr:uid="{00000000-0005-0000-0000-000008010000}"/>
    <cellStyle name="20% - 강조색3 32" xfId="664" xr:uid="{00000000-0005-0000-0000-000009010000}"/>
    <cellStyle name="20% - 강조색3 33" xfId="684" xr:uid="{00000000-0005-0000-0000-00000A010000}"/>
    <cellStyle name="20% - 강조색3 34" xfId="704" xr:uid="{00000000-0005-0000-0000-00000B010000}"/>
    <cellStyle name="20% - 강조색3 35" xfId="724" xr:uid="{00000000-0005-0000-0000-00000C010000}"/>
    <cellStyle name="20% - 강조색3 36" xfId="744" xr:uid="{00000000-0005-0000-0000-00000D010000}"/>
    <cellStyle name="20% - 강조색3 37" xfId="764" xr:uid="{00000000-0005-0000-0000-00000E010000}"/>
    <cellStyle name="20% - 강조색3 38" xfId="784" xr:uid="{00000000-0005-0000-0000-00000F010000}"/>
    <cellStyle name="20% - 강조색3 39" xfId="804" xr:uid="{00000000-0005-0000-0000-000010010000}"/>
    <cellStyle name="20% - 강조색3 4" xfId="104" xr:uid="{00000000-0005-0000-0000-000011010000}"/>
    <cellStyle name="20% - 강조색3 40" xfId="824" xr:uid="{00000000-0005-0000-0000-000012010000}"/>
    <cellStyle name="20% - 강조색3 41" xfId="844" xr:uid="{00000000-0005-0000-0000-000013010000}"/>
    <cellStyle name="20% - 강조색3 42" xfId="864" xr:uid="{00000000-0005-0000-0000-000014010000}"/>
    <cellStyle name="20% - 강조색3 43" xfId="884" xr:uid="{00000000-0005-0000-0000-000015010000}"/>
    <cellStyle name="20% - 강조색3 44" xfId="904" xr:uid="{00000000-0005-0000-0000-000016010000}"/>
    <cellStyle name="20% - 강조색3 45" xfId="924" xr:uid="{00000000-0005-0000-0000-000017010000}"/>
    <cellStyle name="20% - 강조색3 46" xfId="944" xr:uid="{00000000-0005-0000-0000-000018010000}"/>
    <cellStyle name="20% - 강조색3 47" xfId="964" xr:uid="{00000000-0005-0000-0000-000019010000}"/>
    <cellStyle name="20% - 강조색3 48" xfId="984" xr:uid="{00000000-0005-0000-0000-00001A010000}"/>
    <cellStyle name="20% - 강조색3 49" xfId="1004" xr:uid="{00000000-0005-0000-0000-00001B010000}"/>
    <cellStyle name="20% - 강조색3 5" xfId="124" xr:uid="{00000000-0005-0000-0000-00001C010000}"/>
    <cellStyle name="20% - 강조색3 50" xfId="1024" xr:uid="{00000000-0005-0000-0000-00001D010000}"/>
    <cellStyle name="20% - 강조색3 51" xfId="1044" xr:uid="{00000000-0005-0000-0000-00001E010000}"/>
    <cellStyle name="20% - 강조색3 52" xfId="1064" xr:uid="{00000000-0005-0000-0000-00001F010000}"/>
    <cellStyle name="20% - 강조색3 53" xfId="1084" xr:uid="{00000000-0005-0000-0000-000020010000}"/>
    <cellStyle name="20% - 강조색3 54" xfId="1104" xr:uid="{00000000-0005-0000-0000-000021010000}"/>
    <cellStyle name="20% - 강조색3 55" xfId="1124" xr:uid="{00000000-0005-0000-0000-000022010000}"/>
    <cellStyle name="20% - 강조색3 56" xfId="1144" xr:uid="{00000000-0005-0000-0000-000023010000}"/>
    <cellStyle name="20% - 강조색3 57" xfId="1164" xr:uid="{00000000-0005-0000-0000-000024010000}"/>
    <cellStyle name="20% - 강조색3 58" xfId="1184" xr:uid="{00000000-0005-0000-0000-000025010000}"/>
    <cellStyle name="20% - 강조색3 59" xfId="1204" xr:uid="{00000000-0005-0000-0000-000026010000}"/>
    <cellStyle name="20% - 강조색3 6" xfId="144" xr:uid="{00000000-0005-0000-0000-000027010000}"/>
    <cellStyle name="20% - 강조색3 60" xfId="1224" xr:uid="{00000000-0005-0000-0000-000028010000}"/>
    <cellStyle name="20% - 강조색3 61" xfId="1244" xr:uid="{00000000-0005-0000-0000-000029010000}"/>
    <cellStyle name="20% - 강조색3 62" xfId="1264" xr:uid="{00000000-0005-0000-0000-00002A010000}"/>
    <cellStyle name="20% - 강조색3 63" xfId="1284" xr:uid="{00000000-0005-0000-0000-00002B010000}"/>
    <cellStyle name="20% - 강조색3 64" xfId="1304" xr:uid="{00000000-0005-0000-0000-00002C010000}"/>
    <cellStyle name="20% - 강조색3 65" xfId="1324" xr:uid="{00000000-0005-0000-0000-00002D010000}"/>
    <cellStyle name="20% - 강조색3 66" xfId="1344" xr:uid="{00000000-0005-0000-0000-00002E010000}"/>
    <cellStyle name="20% - 강조색3 67" xfId="1364" xr:uid="{00000000-0005-0000-0000-00002F010000}"/>
    <cellStyle name="20% - 강조색3 68" xfId="1384" xr:uid="{00000000-0005-0000-0000-000030010000}"/>
    <cellStyle name="20% - 강조색3 69" xfId="1404" xr:uid="{00000000-0005-0000-0000-000031010000}"/>
    <cellStyle name="20% - 강조색3 7" xfId="164" xr:uid="{00000000-0005-0000-0000-000032010000}"/>
    <cellStyle name="20% - 강조색3 70" xfId="1424" xr:uid="{00000000-0005-0000-0000-000033010000}"/>
    <cellStyle name="20% - 강조색3 71" xfId="1444" xr:uid="{00000000-0005-0000-0000-000034010000}"/>
    <cellStyle name="20% - 강조색3 72" xfId="1464" xr:uid="{00000000-0005-0000-0000-000035010000}"/>
    <cellStyle name="20% - 강조색3 73" xfId="1484" xr:uid="{00000000-0005-0000-0000-000036010000}"/>
    <cellStyle name="20% - 강조색3 74" xfId="1504" xr:uid="{00000000-0005-0000-0000-000037010000}"/>
    <cellStyle name="20% - 강조색3 75" xfId="1524" xr:uid="{00000000-0005-0000-0000-000038010000}"/>
    <cellStyle name="20% - 강조색3 76" xfId="1544" xr:uid="{00000000-0005-0000-0000-000039010000}"/>
    <cellStyle name="20% - 강조색3 77" xfId="1564" xr:uid="{00000000-0005-0000-0000-00003A010000}"/>
    <cellStyle name="20% - 강조색3 78" xfId="1584" xr:uid="{00000000-0005-0000-0000-00003B010000}"/>
    <cellStyle name="20% - 강조색3 79" xfId="1604" xr:uid="{00000000-0005-0000-0000-00003C010000}"/>
    <cellStyle name="20% - 강조색3 8" xfId="184" xr:uid="{00000000-0005-0000-0000-00003D010000}"/>
    <cellStyle name="20% - 강조색3 80" xfId="1624" xr:uid="{00000000-0005-0000-0000-00003E010000}"/>
    <cellStyle name="20% - 강조색3 81" xfId="1644" xr:uid="{00000000-0005-0000-0000-00003F010000}"/>
    <cellStyle name="20% - 강조색3 82" xfId="1664" xr:uid="{00000000-0005-0000-0000-000040010000}"/>
    <cellStyle name="20% - 강조색3 83" xfId="1684" xr:uid="{00000000-0005-0000-0000-000041010000}"/>
    <cellStyle name="20% - 강조색3 84" xfId="1704" xr:uid="{00000000-0005-0000-0000-000042010000}"/>
    <cellStyle name="20% - 강조색3 85" xfId="1724" xr:uid="{00000000-0005-0000-0000-000043010000}"/>
    <cellStyle name="20% - 강조색3 86" xfId="1744" xr:uid="{00000000-0005-0000-0000-000044010000}"/>
    <cellStyle name="20% - 강조색3 87" xfId="1764" xr:uid="{00000000-0005-0000-0000-000045010000}"/>
    <cellStyle name="20% - 강조색3 88" xfId="1784" xr:uid="{00000000-0005-0000-0000-000046010000}"/>
    <cellStyle name="20% - 강조색3 89" xfId="1804" xr:uid="{00000000-0005-0000-0000-000047010000}"/>
    <cellStyle name="20% - 강조색3 9" xfId="204" xr:uid="{00000000-0005-0000-0000-000048010000}"/>
    <cellStyle name="20% - 강조색3 90" xfId="1824" xr:uid="{00000000-0005-0000-0000-000049010000}"/>
    <cellStyle name="20% - 강조색3 91" xfId="1844" xr:uid="{00000000-0005-0000-0000-00004A010000}"/>
    <cellStyle name="20% - 강조색3 92" xfId="1864" xr:uid="{00000000-0005-0000-0000-00004B010000}"/>
    <cellStyle name="20% - 강조색3 93" xfId="1884" xr:uid="{00000000-0005-0000-0000-00004C010000}"/>
    <cellStyle name="20% - 강조색3 94" xfId="1904" xr:uid="{00000000-0005-0000-0000-00004D010000}"/>
    <cellStyle name="20% - 강조색3 95" xfId="1924" xr:uid="{00000000-0005-0000-0000-00004E010000}"/>
    <cellStyle name="20% - 강조색3 96" xfId="1944" xr:uid="{00000000-0005-0000-0000-00004F010000}"/>
    <cellStyle name="20% - 강조색3 97" xfId="1964" xr:uid="{00000000-0005-0000-0000-000050010000}"/>
    <cellStyle name="20% - 강조색3 98" xfId="1984" xr:uid="{00000000-0005-0000-0000-000051010000}"/>
    <cellStyle name="20% - 강조색3 99" xfId="2004" xr:uid="{00000000-0005-0000-0000-000052010000}"/>
    <cellStyle name="20% - 강조색4" xfId="32" builtinId="42" customBuiltin="1"/>
    <cellStyle name="20% - 강조색4 10" xfId="227" xr:uid="{00000000-0005-0000-0000-000054010000}"/>
    <cellStyle name="20% - 강조색4 100" xfId="2027" xr:uid="{00000000-0005-0000-0000-000055010000}"/>
    <cellStyle name="20% - 강조색4 101" xfId="2047" xr:uid="{00000000-0005-0000-0000-000056010000}"/>
    <cellStyle name="20% - 강조색4 102" xfId="2067" xr:uid="{00000000-0005-0000-0000-000057010000}"/>
    <cellStyle name="20% - 강조색4 103" xfId="2087" xr:uid="{00000000-0005-0000-0000-000058010000}"/>
    <cellStyle name="20% - 강조색4 104" xfId="2107" xr:uid="{00000000-0005-0000-0000-000059010000}"/>
    <cellStyle name="20% - 강조색4 105" xfId="2127" xr:uid="{00000000-0005-0000-0000-00005A010000}"/>
    <cellStyle name="20% - 강조색4 106" xfId="2147" xr:uid="{00000000-0005-0000-0000-00005B010000}"/>
    <cellStyle name="20% - 강조색4 107" xfId="2167" xr:uid="{00000000-0005-0000-0000-00005C010000}"/>
    <cellStyle name="20% - 강조색4 108" xfId="2187" xr:uid="{00000000-0005-0000-0000-00005D010000}"/>
    <cellStyle name="20% - 강조색4 109" xfId="2207" xr:uid="{00000000-0005-0000-0000-00005E010000}"/>
    <cellStyle name="20% - 강조색4 11" xfId="247" xr:uid="{00000000-0005-0000-0000-00005F010000}"/>
    <cellStyle name="20% - 강조색4 110" xfId="2227" xr:uid="{00000000-0005-0000-0000-000060010000}"/>
    <cellStyle name="20% - 강조색4 111" xfId="2250" xr:uid="{00000000-0005-0000-0000-000061010000}"/>
    <cellStyle name="20% - 강조색4 112" xfId="2272" xr:uid="{00000000-0005-0000-0000-000062010000}"/>
    <cellStyle name="20% - 강조색4 113" xfId="2294" xr:uid="{00000000-0005-0000-0000-000063010000}"/>
    <cellStyle name="20% - 강조색4 114" xfId="2314" xr:uid="{7B1ED467-4A3F-4544-B596-8175F4F133AA}"/>
    <cellStyle name="20% - 강조색4 115" xfId="2334" xr:uid="{6AFD457C-5CCF-4E03-8F31-5F750DFF7CE1}"/>
    <cellStyle name="20% - 강조색4 116" xfId="2354" xr:uid="{6217A0B2-6CC9-434B-9A22-F1F76406E1D5}"/>
    <cellStyle name="20% - 강조색4 117" xfId="2374" xr:uid="{D0F5A6D6-1D41-462F-BBEA-333351F7056B}"/>
    <cellStyle name="20% - 강조색4 118" xfId="2394" xr:uid="{3B1208EE-DCD2-46B4-82D4-537F5D19E6C2}"/>
    <cellStyle name="20% - 강조색4 119" xfId="2414" xr:uid="{25FF2C91-B60D-4B9F-9DE2-0D8CFB1766C6}"/>
    <cellStyle name="20% - 강조색4 12" xfId="267" xr:uid="{00000000-0005-0000-0000-000064010000}"/>
    <cellStyle name="20% - 강조색4 120" xfId="2434" xr:uid="{FAF864FB-8627-4F41-A643-1B8942B2462D}"/>
    <cellStyle name="20% - 강조색4 121" xfId="2454" xr:uid="{9078FEDE-7E24-45E9-B002-FE64401C7A31}"/>
    <cellStyle name="20% - 강조색4 122" xfId="2474" xr:uid="{E0574AC7-51BE-4F1F-B3F3-9061C124104A}"/>
    <cellStyle name="20% - 강조색4 123" xfId="2494" xr:uid="{5066346A-6C9C-4E86-9B68-2711EDE15905}"/>
    <cellStyle name="20% - 강조색4 124" xfId="2514" xr:uid="{E46865A1-5DBB-46A4-AA2F-332EFB49F848}"/>
    <cellStyle name="20% - 강조색4 125" xfId="2534" xr:uid="{70DD0B09-41CB-4E46-88D8-8B9359B9B271}"/>
    <cellStyle name="20% - 강조색4 126" xfId="2554" xr:uid="{54A060D0-E10D-45D4-BAF1-9B2B115478A1}"/>
    <cellStyle name="20% - 강조색4 127" xfId="2574" xr:uid="{6BF4E002-54A3-4304-A5DE-3B9CA1DCA04C}"/>
    <cellStyle name="20% - 강조색4 128" xfId="2594" xr:uid="{0C8A7CDC-DE9F-47E5-B760-3900A27FA168}"/>
    <cellStyle name="20% - 강조색4 129" xfId="2614" xr:uid="{FEA6DD5A-4087-41C9-9BFB-1ADF014D2258}"/>
    <cellStyle name="20% - 강조색4 13" xfId="287" xr:uid="{00000000-0005-0000-0000-000065010000}"/>
    <cellStyle name="20% - 강조색4 130" xfId="2634" xr:uid="{EE0BED73-9F9E-4422-8DFC-1255C15B6C75}"/>
    <cellStyle name="20% - 강조색4 131" xfId="2654" xr:uid="{5030529F-DE0F-428B-874B-DC519C498E8B}"/>
    <cellStyle name="20% - 강조색4 132" xfId="2674" xr:uid="{959E954B-FD61-4D5F-8C77-88C03129EC5C}"/>
    <cellStyle name="20% - 강조색4 133" xfId="2694" xr:uid="{3BD208A2-6759-47A1-B259-781E5CB0B233}"/>
    <cellStyle name="20% - 강조색4 134" xfId="2714" xr:uid="{C5D60CD9-F9D3-4052-A504-B0722EA698EF}"/>
    <cellStyle name="20% - 강조색4 14" xfId="307" xr:uid="{00000000-0005-0000-0000-000066010000}"/>
    <cellStyle name="20% - 강조색4 15" xfId="327" xr:uid="{00000000-0005-0000-0000-000067010000}"/>
    <cellStyle name="20% - 강조색4 16" xfId="347" xr:uid="{00000000-0005-0000-0000-000068010000}"/>
    <cellStyle name="20% - 강조색4 17" xfId="367" xr:uid="{00000000-0005-0000-0000-000069010000}"/>
    <cellStyle name="20% - 강조색4 18" xfId="387" xr:uid="{00000000-0005-0000-0000-00006A010000}"/>
    <cellStyle name="20% - 강조색4 19" xfId="407" xr:uid="{00000000-0005-0000-0000-00006B010000}"/>
    <cellStyle name="20% - 강조색4 2" xfId="53" xr:uid="{00000000-0005-0000-0000-00006C010000}"/>
    <cellStyle name="20% - 강조색4 20" xfId="427" xr:uid="{00000000-0005-0000-0000-00006D010000}"/>
    <cellStyle name="20% - 강조색4 21" xfId="447" xr:uid="{00000000-0005-0000-0000-00006E010000}"/>
    <cellStyle name="20% - 강조색4 22" xfId="467" xr:uid="{00000000-0005-0000-0000-00006F010000}"/>
    <cellStyle name="20% - 강조색4 23" xfId="487" xr:uid="{00000000-0005-0000-0000-000070010000}"/>
    <cellStyle name="20% - 강조색4 24" xfId="507" xr:uid="{00000000-0005-0000-0000-000071010000}"/>
    <cellStyle name="20% - 강조색4 25" xfId="527" xr:uid="{00000000-0005-0000-0000-000072010000}"/>
    <cellStyle name="20% - 강조색4 26" xfId="547" xr:uid="{00000000-0005-0000-0000-000073010000}"/>
    <cellStyle name="20% - 강조색4 27" xfId="567" xr:uid="{00000000-0005-0000-0000-000074010000}"/>
    <cellStyle name="20% - 강조색4 28" xfId="587" xr:uid="{00000000-0005-0000-0000-000075010000}"/>
    <cellStyle name="20% - 강조색4 29" xfId="607" xr:uid="{00000000-0005-0000-0000-000076010000}"/>
    <cellStyle name="20% - 강조색4 3" xfId="85" xr:uid="{00000000-0005-0000-0000-000077010000}"/>
    <cellStyle name="20% - 강조색4 30" xfId="627" xr:uid="{00000000-0005-0000-0000-000078010000}"/>
    <cellStyle name="20% - 강조색4 31" xfId="647" xr:uid="{00000000-0005-0000-0000-000079010000}"/>
    <cellStyle name="20% - 강조색4 32" xfId="667" xr:uid="{00000000-0005-0000-0000-00007A010000}"/>
    <cellStyle name="20% - 강조색4 33" xfId="687" xr:uid="{00000000-0005-0000-0000-00007B010000}"/>
    <cellStyle name="20% - 강조색4 34" xfId="707" xr:uid="{00000000-0005-0000-0000-00007C010000}"/>
    <cellStyle name="20% - 강조색4 35" xfId="727" xr:uid="{00000000-0005-0000-0000-00007D010000}"/>
    <cellStyle name="20% - 강조색4 36" xfId="747" xr:uid="{00000000-0005-0000-0000-00007E010000}"/>
    <cellStyle name="20% - 강조색4 37" xfId="767" xr:uid="{00000000-0005-0000-0000-00007F010000}"/>
    <cellStyle name="20% - 강조색4 38" xfId="787" xr:uid="{00000000-0005-0000-0000-000080010000}"/>
    <cellStyle name="20% - 강조색4 39" xfId="807" xr:uid="{00000000-0005-0000-0000-000081010000}"/>
    <cellStyle name="20% - 강조색4 4" xfId="107" xr:uid="{00000000-0005-0000-0000-000082010000}"/>
    <cellStyle name="20% - 강조색4 40" xfId="827" xr:uid="{00000000-0005-0000-0000-000083010000}"/>
    <cellStyle name="20% - 강조색4 41" xfId="847" xr:uid="{00000000-0005-0000-0000-000084010000}"/>
    <cellStyle name="20% - 강조색4 42" xfId="867" xr:uid="{00000000-0005-0000-0000-000085010000}"/>
    <cellStyle name="20% - 강조색4 43" xfId="887" xr:uid="{00000000-0005-0000-0000-000086010000}"/>
    <cellStyle name="20% - 강조색4 44" xfId="907" xr:uid="{00000000-0005-0000-0000-000087010000}"/>
    <cellStyle name="20% - 강조색4 45" xfId="927" xr:uid="{00000000-0005-0000-0000-000088010000}"/>
    <cellStyle name="20% - 강조색4 46" xfId="947" xr:uid="{00000000-0005-0000-0000-000089010000}"/>
    <cellStyle name="20% - 강조색4 47" xfId="967" xr:uid="{00000000-0005-0000-0000-00008A010000}"/>
    <cellStyle name="20% - 강조색4 48" xfId="987" xr:uid="{00000000-0005-0000-0000-00008B010000}"/>
    <cellStyle name="20% - 강조색4 49" xfId="1007" xr:uid="{00000000-0005-0000-0000-00008C010000}"/>
    <cellStyle name="20% - 강조색4 5" xfId="127" xr:uid="{00000000-0005-0000-0000-00008D010000}"/>
    <cellStyle name="20% - 강조색4 50" xfId="1027" xr:uid="{00000000-0005-0000-0000-00008E010000}"/>
    <cellStyle name="20% - 강조색4 51" xfId="1047" xr:uid="{00000000-0005-0000-0000-00008F010000}"/>
    <cellStyle name="20% - 강조색4 52" xfId="1067" xr:uid="{00000000-0005-0000-0000-000090010000}"/>
    <cellStyle name="20% - 강조색4 53" xfId="1087" xr:uid="{00000000-0005-0000-0000-000091010000}"/>
    <cellStyle name="20% - 강조색4 54" xfId="1107" xr:uid="{00000000-0005-0000-0000-000092010000}"/>
    <cellStyle name="20% - 강조색4 55" xfId="1127" xr:uid="{00000000-0005-0000-0000-000093010000}"/>
    <cellStyle name="20% - 강조색4 56" xfId="1147" xr:uid="{00000000-0005-0000-0000-000094010000}"/>
    <cellStyle name="20% - 강조색4 57" xfId="1167" xr:uid="{00000000-0005-0000-0000-000095010000}"/>
    <cellStyle name="20% - 강조색4 58" xfId="1187" xr:uid="{00000000-0005-0000-0000-000096010000}"/>
    <cellStyle name="20% - 강조색4 59" xfId="1207" xr:uid="{00000000-0005-0000-0000-000097010000}"/>
    <cellStyle name="20% - 강조색4 6" xfId="147" xr:uid="{00000000-0005-0000-0000-000098010000}"/>
    <cellStyle name="20% - 강조색4 60" xfId="1227" xr:uid="{00000000-0005-0000-0000-000099010000}"/>
    <cellStyle name="20% - 강조색4 61" xfId="1247" xr:uid="{00000000-0005-0000-0000-00009A010000}"/>
    <cellStyle name="20% - 강조색4 62" xfId="1267" xr:uid="{00000000-0005-0000-0000-00009B010000}"/>
    <cellStyle name="20% - 강조색4 63" xfId="1287" xr:uid="{00000000-0005-0000-0000-00009C010000}"/>
    <cellStyle name="20% - 강조색4 64" xfId="1307" xr:uid="{00000000-0005-0000-0000-00009D010000}"/>
    <cellStyle name="20% - 강조색4 65" xfId="1327" xr:uid="{00000000-0005-0000-0000-00009E010000}"/>
    <cellStyle name="20% - 강조색4 66" xfId="1347" xr:uid="{00000000-0005-0000-0000-00009F010000}"/>
    <cellStyle name="20% - 강조색4 67" xfId="1367" xr:uid="{00000000-0005-0000-0000-0000A0010000}"/>
    <cellStyle name="20% - 강조색4 68" xfId="1387" xr:uid="{00000000-0005-0000-0000-0000A1010000}"/>
    <cellStyle name="20% - 강조색4 69" xfId="1407" xr:uid="{00000000-0005-0000-0000-0000A2010000}"/>
    <cellStyle name="20% - 강조색4 7" xfId="167" xr:uid="{00000000-0005-0000-0000-0000A3010000}"/>
    <cellStyle name="20% - 강조색4 70" xfId="1427" xr:uid="{00000000-0005-0000-0000-0000A4010000}"/>
    <cellStyle name="20% - 강조색4 71" xfId="1447" xr:uid="{00000000-0005-0000-0000-0000A5010000}"/>
    <cellStyle name="20% - 강조색4 72" xfId="1467" xr:uid="{00000000-0005-0000-0000-0000A6010000}"/>
    <cellStyle name="20% - 강조색4 73" xfId="1487" xr:uid="{00000000-0005-0000-0000-0000A7010000}"/>
    <cellStyle name="20% - 강조색4 74" xfId="1507" xr:uid="{00000000-0005-0000-0000-0000A8010000}"/>
    <cellStyle name="20% - 강조색4 75" xfId="1527" xr:uid="{00000000-0005-0000-0000-0000A9010000}"/>
    <cellStyle name="20% - 강조색4 76" xfId="1547" xr:uid="{00000000-0005-0000-0000-0000AA010000}"/>
    <cellStyle name="20% - 강조색4 77" xfId="1567" xr:uid="{00000000-0005-0000-0000-0000AB010000}"/>
    <cellStyle name="20% - 강조색4 78" xfId="1587" xr:uid="{00000000-0005-0000-0000-0000AC010000}"/>
    <cellStyle name="20% - 강조색4 79" xfId="1607" xr:uid="{00000000-0005-0000-0000-0000AD010000}"/>
    <cellStyle name="20% - 강조색4 8" xfId="187" xr:uid="{00000000-0005-0000-0000-0000AE010000}"/>
    <cellStyle name="20% - 강조색4 80" xfId="1627" xr:uid="{00000000-0005-0000-0000-0000AF010000}"/>
    <cellStyle name="20% - 강조색4 81" xfId="1647" xr:uid="{00000000-0005-0000-0000-0000B0010000}"/>
    <cellStyle name="20% - 강조색4 82" xfId="1667" xr:uid="{00000000-0005-0000-0000-0000B1010000}"/>
    <cellStyle name="20% - 강조색4 83" xfId="1687" xr:uid="{00000000-0005-0000-0000-0000B2010000}"/>
    <cellStyle name="20% - 강조색4 84" xfId="1707" xr:uid="{00000000-0005-0000-0000-0000B3010000}"/>
    <cellStyle name="20% - 강조색4 85" xfId="1727" xr:uid="{00000000-0005-0000-0000-0000B4010000}"/>
    <cellStyle name="20% - 강조색4 86" xfId="1747" xr:uid="{00000000-0005-0000-0000-0000B5010000}"/>
    <cellStyle name="20% - 강조색4 87" xfId="1767" xr:uid="{00000000-0005-0000-0000-0000B6010000}"/>
    <cellStyle name="20% - 강조색4 88" xfId="1787" xr:uid="{00000000-0005-0000-0000-0000B7010000}"/>
    <cellStyle name="20% - 강조색4 89" xfId="1807" xr:uid="{00000000-0005-0000-0000-0000B8010000}"/>
    <cellStyle name="20% - 강조색4 9" xfId="207" xr:uid="{00000000-0005-0000-0000-0000B9010000}"/>
    <cellStyle name="20% - 강조색4 90" xfId="1827" xr:uid="{00000000-0005-0000-0000-0000BA010000}"/>
    <cellStyle name="20% - 강조색4 91" xfId="1847" xr:uid="{00000000-0005-0000-0000-0000BB010000}"/>
    <cellStyle name="20% - 강조색4 92" xfId="1867" xr:uid="{00000000-0005-0000-0000-0000BC010000}"/>
    <cellStyle name="20% - 강조색4 93" xfId="1887" xr:uid="{00000000-0005-0000-0000-0000BD010000}"/>
    <cellStyle name="20% - 강조색4 94" xfId="1907" xr:uid="{00000000-0005-0000-0000-0000BE010000}"/>
    <cellStyle name="20% - 강조색4 95" xfId="1927" xr:uid="{00000000-0005-0000-0000-0000BF010000}"/>
    <cellStyle name="20% - 강조색4 96" xfId="1947" xr:uid="{00000000-0005-0000-0000-0000C0010000}"/>
    <cellStyle name="20% - 강조색4 97" xfId="1967" xr:uid="{00000000-0005-0000-0000-0000C1010000}"/>
    <cellStyle name="20% - 강조색4 98" xfId="1987" xr:uid="{00000000-0005-0000-0000-0000C2010000}"/>
    <cellStyle name="20% - 강조색4 99" xfId="2007" xr:uid="{00000000-0005-0000-0000-0000C3010000}"/>
    <cellStyle name="20% - 강조색5" xfId="36" builtinId="46" customBuiltin="1"/>
    <cellStyle name="20% - 강조색5 10" xfId="230" xr:uid="{00000000-0005-0000-0000-0000C5010000}"/>
    <cellStyle name="20% - 강조색5 100" xfId="2030" xr:uid="{00000000-0005-0000-0000-0000C6010000}"/>
    <cellStyle name="20% - 강조색5 101" xfId="2050" xr:uid="{00000000-0005-0000-0000-0000C7010000}"/>
    <cellStyle name="20% - 강조색5 102" xfId="2070" xr:uid="{00000000-0005-0000-0000-0000C8010000}"/>
    <cellStyle name="20% - 강조색5 103" xfId="2090" xr:uid="{00000000-0005-0000-0000-0000C9010000}"/>
    <cellStyle name="20% - 강조색5 104" xfId="2110" xr:uid="{00000000-0005-0000-0000-0000CA010000}"/>
    <cellStyle name="20% - 강조색5 105" xfId="2130" xr:uid="{00000000-0005-0000-0000-0000CB010000}"/>
    <cellStyle name="20% - 강조색5 106" xfId="2150" xr:uid="{00000000-0005-0000-0000-0000CC010000}"/>
    <cellStyle name="20% - 강조색5 107" xfId="2170" xr:uid="{00000000-0005-0000-0000-0000CD010000}"/>
    <cellStyle name="20% - 강조색5 108" xfId="2190" xr:uid="{00000000-0005-0000-0000-0000CE010000}"/>
    <cellStyle name="20% - 강조색5 109" xfId="2210" xr:uid="{00000000-0005-0000-0000-0000CF010000}"/>
    <cellStyle name="20% - 강조색5 11" xfId="250" xr:uid="{00000000-0005-0000-0000-0000D0010000}"/>
    <cellStyle name="20% - 강조색5 110" xfId="2230" xr:uid="{00000000-0005-0000-0000-0000D1010000}"/>
    <cellStyle name="20% - 강조색5 111" xfId="2253" xr:uid="{00000000-0005-0000-0000-0000D2010000}"/>
    <cellStyle name="20% - 강조색5 112" xfId="2275" xr:uid="{00000000-0005-0000-0000-0000D3010000}"/>
    <cellStyle name="20% - 강조색5 113" xfId="2297" xr:uid="{00000000-0005-0000-0000-0000D4010000}"/>
    <cellStyle name="20% - 강조색5 114" xfId="2317" xr:uid="{15F4AC0F-8CA7-463D-B541-8D0153A45B0B}"/>
    <cellStyle name="20% - 강조색5 115" xfId="2337" xr:uid="{44C362B2-F587-4069-AEE1-1FB39793B710}"/>
    <cellStyle name="20% - 강조색5 116" xfId="2357" xr:uid="{84BA7087-E2DD-46F4-A7C8-0DE10459B679}"/>
    <cellStyle name="20% - 강조색5 117" xfId="2377" xr:uid="{AE887306-E80D-4689-B6CC-D96F8ECED711}"/>
    <cellStyle name="20% - 강조색5 118" xfId="2397" xr:uid="{ACFB6508-9BF4-455F-898F-A93EFE6E225D}"/>
    <cellStyle name="20% - 강조색5 119" xfId="2417" xr:uid="{1FEEA667-21DE-43FC-8A47-02F6A1AD7835}"/>
    <cellStyle name="20% - 강조색5 12" xfId="270" xr:uid="{00000000-0005-0000-0000-0000D5010000}"/>
    <cellStyle name="20% - 강조색5 120" xfId="2437" xr:uid="{FF2C128C-139C-413C-AC89-1FE185160A23}"/>
    <cellStyle name="20% - 강조색5 121" xfId="2457" xr:uid="{B62240AD-C4C8-4C4F-9FC1-148D59B15DDC}"/>
    <cellStyle name="20% - 강조색5 122" xfId="2477" xr:uid="{172874B0-7E79-4600-87B6-27D2DE5A9CA9}"/>
    <cellStyle name="20% - 강조색5 123" xfId="2497" xr:uid="{2562C86A-0291-4C29-BBF0-7398C67A788C}"/>
    <cellStyle name="20% - 강조색5 124" xfId="2517" xr:uid="{FD8F1A1C-C10C-4E82-9AF3-B0A14400AA58}"/>
    <cellStyle name="20% - 강조색5 125" xfId="2537" xr:uid="{CC050BFA-3607-4B0E-8B78-4D9DB0929071}"/>
    <cellStyle name="20% - 강조색5 126" xfId="2557" xr:uid="{05D1893E-9458-45AB-836A-CFDFAD965A89}"/>
    <cellStyle name="20% - 강조색5 127" xfId="2577" xr:uid="{3E1B9F2D-7533-4978-9918-17E268589372}"/>
    <cellStyle name="20% - 강조색5 128" xfId="2597" xr:uid="{4416DC16-6FFD-4E40-BFD6-D07A9AC451E5}"/>
    <cellStyle name="20% - 강조색5 129" xfId="2617" xr:uid="{ADCCE6DC-7ED7-43B2-A5C6-D962FDAE3C2C}"/>
    <cellStyle name="20% - 강조색5 13" xfId="290" xr:uid="{00000000-0005-0000-0000-0000D6010000}"/>
    <cellStyle name="20% - 강조색5 130" xfId="2637" xr:uid="{F2894DFB-FC92-4AE2-9976-400551F395A8}"/>
    <cellStyle name="20% - 강조색5 131" xfId="2657" xr:uid="{2E0655B7-AAF7-425A-BFD8-9DCE53C27DE1}"/>
    <cellStyle name="20% - 강조색5 132" xfId="2677" xr:uid="{361D41BE-9D52-41BD-8BEB-CEF29A0DD546}"/>
    <cellStyle name="20% - 강조색5 133" xfId="2697" xr:uid="{4FE1697C-27F9-46CE-B836-22C961C02F09}"/>
    <cellStyle name="20% - 강조색5 134" xfId="2717" xr:uid="{0CBF3BB1-35A8-4472-AB9B-891F60AB4A6C}"/>
    <cellStyle name="20% - 강조색5 14" xfId="310" xr:uid="{00000000-0005-0000-0000-0000D7010000}"/>
    <cellStyle name="20% - 강조색5 15" xfId="330" xr:uid="{00000000-0005-0000-0000-0000D8010000}"/>
    <cellStyle name="20% - 강조색5 16" xfId="350" xr:uid="{00000000-0005-0000-0000-0000D9010000}"/>
    <cellStyle name="20% - 강조색5 17" xfId="370" xr:uid="{00000000-0005-0000-0000-0000DA010000}"/>
    <cellStyle name="20% - 강조색5 18" xfId="390" xr:uid="{00000000-0005-0000-0000-0000DB010000}"/>
    <cellStyle name="20% - 강조색5 19" xfId="410" xr:uid="{00000000-0005-0000-0000-0000DC010000}"/>
    <cellStyle name="20% - 강조색5 2" xfId="55" xr:uid="{00000000-0005-0000-0000-0000DD010000}"/>
    <cellStyle name="20% - 강조색5 20" xfId="430" xr:uid="{00000000-0005-0000-0000-0000DE010000}"/>
    <cellStyle name="20% - 강조색5 21" xfId="450" xr:uid="{00000000-0005-0000-0000-0000DF010000}"/>
    <cellStyle name="20% - 강조색5 22" xfId="470" xr:uid="{00000000-0005-0000-0000-0000E0010000}"/>
    <cellStyle name="20% - 강조색5 23" xfId="490" xr:uid="{00000000-0005-0000-0000-0000E1010000}"/>
    <cellStyle name="20% - 강조색5 24" xfId="510" xr:uid="{00000000-0005-0000-0000-0000E2010000}"/>
    <cellStyle name="20% - 강조색5 25" xfId="530" xr:uid="{00000000-0005-0000-0000-0000E3010000}"/>
    <cellStyle name="20% - 강조색5 26" xfId="550" xr:uid="{00000000-0005-0000-0000-0000E4010000}"/>
    <cellStyle name="20% - 강조색5 27" xfId="570" xr:uid="{00000000-0005-0000-0000-0000E5010000}"/>
    <cellStyle name="20% - 강조색5 28" xfId="590" xr:uid="{00000000-0005-0000-0000-0000E6010000}"/>
    <cellStyle name="20% - 강조색5 29" xfId="610" xr:uid="{00000000-0005-0000-0000-0000E7010000}"/>
    <cellStyle name="20% - 강조색5 3" xfId="89" xr:uid="{00000000-0005-0000-0000-0000E8010000}"/>
    <cellStyle name="20% - 강조색5 30" xfId="630" xr:uid="{00000000-0005-0000-0000-0000E9010000}"/>
    <cellStyle name="20% - 강조색5 31" xfId="650" xr:uid="{00000000-0005-0000-0000-0000EA010000}"/>
    <cellStyle name="20% - 강조색5 32" xfId="670" xr:uid="{00000000-0005-0000-0000-0000EB010000}"/>
    <cellStyle name="20% - 강조색5 33" xfId="690" xr:uid="{00000000-0005-0000-0000-0000EC010000}"/>
    <cellStyle name="20% - 강조색5 34" xfId="710" xr:uid="{00000000-0005-0000-0000-0000ED010000}"/>
    <cellStyle name="20% - 강조색5 35" xfId="730" xr:uid="{00000000-0005-0000-0000-0000EE010000}"/>
    <cellStyle name="20% - 강조색5 36" xfId="750" xr:uid="{00000000-0005-0000-0000-0000EF010000}"/>
    <cellStyle name="20% - 강조색5 37" xfId="770" xr:uid="{00000000-0005-0000-0000-0000F0010000}"/>
    <cellStyle name="20% - 강조색5 38" xfId="790" xr:uid="{00000000-0005-0000-0000-0000F1010000}"/>
    <cellStyle name="20% - 강조색5 39" xfId="810" xr:uid="{00000000-0005-0000-0000-0000F2010000}"/>
    <cellStyle name="20% - 강조색5 4" xfId="110" xr:uid="{00000000-0005-0000-0000-0000F3010000}"/>
    <cellStyle name="20% - 강조색5 40" xfId="830" xr:uid="{00000000-0005-0000-0000-0000F4010000}"/>
    <cellStyle name="20% - 강조색5 41" xfId="850" xr:uid="{00000000-0005-0000-0000-0000F5010000}"/>
    <cellStyle name="20% - 강조색5 42" xfId="870" xr:uid="{00000000-0005-0000-0000-0000F6010000}"/>
    <cellStyle name="20% - 강조색5 43" xfId="890" xr:uid="{00000000-0005-0000-0000-0000F7010000}"/>
    <cellStyle name="20% - 강조색5 44" xfId="910" xr:uid="{00000000-0005-0000-0000-0000F8010000}"/>
    <cellStyle name="20% - 강조색5 45" xfId="930" xr:uid="{00000000-0005-0000-0000-0000F9010000}"/>
    <cellStyle name="20% - 강조색5 46" xfId="950" xr:uid="{00000000-0005-0000-0000-0000FA010000}"/>
    <cellStyle name="20% - 강조색5 47" xfId="970" xr:uid="{00000000-0005-0000-0000-0000FB010000}"/>
    <cellStyle name="20% - 강조색5 48" xfId="990" xr:uid="{00000000-0005-0000-0000-0000FC010000}"/>
    <cellStyle name="20% - 강조색5 49" xfId="1010" xr:uid="{00000000-0005-0000-0000-0000FD010000}"/>
    <cellStyle name="20% - 강조색5 5" xfId="130" xr:uid="{00000000-0005-0000-0000-0000FE010000}"/>
    <cellStyle name="20% - 강조색5 50" xfId="1030" xr:uid="{00000000-0005-0000-0000-0000FF010000}"/>
    <cellStyle name="20% - 강조색5 51" xfId="1050" xr:uid="{00000000-0005-0000-0000-000000020000}"/>
    <cellStyle name="20% - 강조색5 52" xfId="1070" xr:uid="{00000000-0005-0000-0000-000001020000}"/>
    <cellStyle name="20% - 강조색5 53" xfId="1090" xr:uid="{00000000-0005-0000-0000-000002020000}"/>
    <cellStyle name="20% - 강조색5 54" xfId="1110" xr:uid="{00000000-0005-0000-0000-000003020000}"/>
    <cellStyle name="20% - 강조색5 55" xfId="1130" xr:uid="{00000000-0005-0000-0000-000004020000}"/>
    <cellStyle name="20% - 강조색5 56" xfId="1150" xr:uid="{00000000-0005-0000-0000-000005020000}"/>
    <cellStyle name="20% - 강조색5 57" xfId="1170" xr:uid="{00000000-0005-0000-0000-000006020000}"/>
    <cellStyle name="20% - 강조색5 58" xfId="1190" xr:uid="{00000000-0005-0000-0000-000007020000}"/>
    <cellStyle name="20% - 강조색5 59" xfId="1210" xr:uid="{00000000-0005-0000-0000-000008020000}"/>
    <cellStyle name="20% - 강조색5 6" xfId="150" xr:uid="{00000000-0005-0000-0000-000009020000}"/>
    <cellStyle name="20% - 강조색5 60" xfId="1230" xr:uid="{00000000-0005-0000-0000-00000A020000}"/>
    <cellStyle name="20% - 강조색5 61" xfId="1250" xr:uid="{00000000-0005-0000-0000-00000B020000}"/>
    <cellStyle name="20% - 강조색5 62" xfId="1270" xr:uid="{00000000-0005-0000-0000-00000C020000}"/>
    <cellStyle name="20% - 강조색5 63" xfId="1290" xr:uid="{00000000-0005-0000-0000-00000D020000}"/>
    <cellStyle name="20% - 강조색5 64" xfId="1310" xr:uid="{00000000-0005-0000-0000-00000E020000}"/>
    <cellStyle name="20% - 강조색5 65" xfId="1330" xr:uid="{00000000-0005-0000-0000-00000F020000}"/>
    <cellStyle name="20% - 강조색5 66" xfId="1350" xr:uid="{00000000-0005-0000-0000-000010020000}"/>
    <cellStyle name="20% - 강조색5 67" xfId="1370" xr:uid="{00000000-0005-0000-0000-000011020000}"/>
    <cellStyle name="20% - 강조색5 68" xfId="1390" xr:uid="{00000000-0005-0000-0000-000012020000}"/>
    <cellStyle name="20% - 강조색5 69" xfId="1410" xr:uid="{00000000-0005-0000-0000-000013020000}"/>
    <cellStyle name="20% - 강조색5 7" xfId="170" xr:uid="{00000000-0005-0000-0000-000014020000}"/>
    <cellStyle name="20% - 강조색5 70" xfId="1430" xr:uid="{00000000-0005-0000-0000-000015020000}"/>
    <cellStyle name="20% - 강조색5 71" xfId="1450" xr:uid="{00000000-0005-0000-0000-000016020000}"/>
    <cellStyle name="20% - 강조색5 72" xfId="1470" xr:uid="{00000000-0005-0000-0000-000017020000}"/>
    <cellStyle name="20% - 강조색5 73" xfId="1490" xr:uid="{00000000-0005-0000-0000-000018020000}"/>
    <cellStyle name="20% - 강조색5 74" xfId="1510" xr:uid="{00000000-0005-0000-0000-000019020000}"/>
    <cellStyle name="20% - 강조색5 75" xfId="1530" xr:uid="{00000000-0005-0000-0000-00001A020000}"/>
    <cellStyle name="20% - 강조색5 76" xfId="1550" xr:uid="{00000000-0005-0000-0000-00001B020000}"/>
    <cellStyle name="20% - 강조색5 77" xfId="1570" xr:uid="{00000000-0005-0000-0000-00001C020000}"/>
    <cellStyle name="20% - 강조색5 78" xfId="1590" xr:uid="{00000000-0005-0000-0000-00001D020000}"/>
    <cellStyle name="20% - 강조색5 79" xfId="1610" xr:uid="{00000000-0005-0000-0000-00001E020000}"/>
    <cellStyle name="20% - 강조색5 8" xfId="190" xr:uid="{00000000-0005-0000-0000-00001F020000}"/>
    <cellStyle name="20% - 강조색5 80" xfId="1630" xr:uid="{00000000-0005-0000-0000-000020020000}"/>
    <cellStyle name="20% - 강조색5 81" xfId="1650" xr:uid="{00000000-0005-0000-0000-000021020000}"/>
    <cellStyle name="20% - 강조색5 82" xfId="1670" xr:uid="{00000000-0005-0000-0000-000022020000}"/>
    <cellStyle name="20% - 강조색5 83" xfId="1690" xr:uid="{00000000-0005-0000-0000-000023020000}"/>
    <cellStyle name="20% - 강조색5 84" xfId="1710" xr:uid="{00000000-0005-0000-0000-000024020000}"/>
    <cellStyle name="20% - 강조색5 85" xfId="1730" xr:uid="{00000000-0005-0000-0000-000025020000}"/>
    <cellStyle name="20% - 강조색5 86" xfId="1750" xr:uid="{00000000-0005-0000-0000-000026020000}"/>
    <cellStyle name="20% - 강조색5 87" xfId="1770" xr:uid="{00000000-0005-0000-0000-000027020000}"/>
    <cellStyle name="20% - 강조색5 88" xfId="1790" xr:uid="{00000000-0005-0000-0000-000028020000}"/>
    <cellStyle name="20% - 강조색5 89" xfId="1810" xr:uid="{00000000-0005-0000-0000-000029020000}"/>
    <cellStyle name="20% - 강조색5 9" xfId="210" xr:uid="{00000000-0005-0000-0000-00002A020000}"/>
    <cellStyle name="20% - 강조색5 90" xfId="1830" xr:uid="{00000000-0005-0000-0000-00002B020000}"/>
    <cellStyle name="20% - 강조색5 91" xfId="1850" xr:uid="{00000000-0005-0000-0000-00002C020000}"/>
    <cellStyle name="20% - 강조색5 92" xfId="1870" xr:uid="{00000000-0005-0000-0000-00002D020000}"/>
    <cellStyle name="20% - 강조색5 93" xfId="1890" xr:uid="{00000000-0005-0000-0000-00002E020000}"/>
    <cellStyle name="20% - 강조색5 94" xfId="1910" xr:uid="{00000000-0005-0000-0000-00002F020000}"/>
    <cellStyle name="20% - 강조색5 95" xfId="1930" xr:uid="{00000000-0005-0000-0000-000030020000}"/>
    <cellStyle name="20% - 강조색5 96" xfId="1950" xr:uid="{00000000-0005-0000-0000-000031020000}"/>
    <cellStyle name="20% - 강조색5 97" xfId="1970" xr:uid="{00000000-0005-0000-0000-000032020000}"/>
    <cellStyle name="20% - 강조색5 98" xfId="1990" xr:uid="{00000000-0005-0000-0000-000033020000}"/>
    <cellStyle name="20% - 강조색5 99" xfId="2010" xr:uid="{00000000-0005-0000-0000-000034020000}"/>
    <cellStyle name="20% - 강조색6" xfId="40" builtinId="50" customBuiltin="1"/>
    <cellStyle name="20% - 강조색6 10" xfId="233" xr:uid="{00000000-0005-0000-0000-000036020000}"/>
    <cellStyle name="20% - 강조색6 100" xfId="2033" xr:uid="{00000000-0005-0000-0000-000037020000}"/>
    <cellStyle name="20% - 강조색6 101" xfId="2053" xr:uid="{00000000-0005-0000-0000-000038020000}"/>
    <cellStyle name="20% - 강조색6 102" xfId="2073" xr:uid="{00000000-0005-0000-0000-000039020000}"/>
    <cellStyle name="20% - 강조색6 103" xfId="2093" xr:uid="{00000000-0005-0000-0000-00003A020000}"/>
    <cellStyle name="20% - 강조색6 104" xfId="2113" xr:uid="{00000000-0005-0000-0000-00003B020000}"/>
    <cellStyle name="20% - 강조색6 105" xfId="2133" xr:uid="{00000000-0005-0000-0000-00003C020000}"/>
    <cellStyle name="20% - 강조색6 106" xfId="2153" xr:uid="{00000000-0005-0000-0000-00003D020000}"/>
    <cellStyle name="20% - 강조색6 107" xfId="2173" xr:uid="{00000000-0005-0000-0000-00003E020000}"/>
    <cellStyle name="20% - 강조색6 108" xfId="2193" xr:uid="{00000000-0005-0000-0000-00003F020000}"/>
    <cellStyle name="20% - 강조색6 109" xfId="2213" xr:uid="{00000000-0005-0000-0000-000040020000}"/>
    <cellStyle name="20% - 강조색6 11" xfId="253" xr:uid="{00000000-0005-0000-0000-000041020000}"/>
    <cellStyle name="20% - 강조색6 110" xfId="2233" xr:uid="{00000000-0005-0000-0000-000042020000}"/>
    <cellStyle name="20% - 강조색6 111" xfId="2256" xr:uid="{00000000-0005-0000-0000-000043020000}"/>
    <cellStyle name="20% - 강조색6 112" xfId="2278" xr:uid="{00000000-0005-0000-0000-000044020000}"/>
    <cellStyle name="20% - 강조색6 113" xfId="2300" xr:uid="{00000000-0005-0000-0000-000045020000}"/>
    <cellStyle name="20% - 강조색6 114" xfId="2320" xr:uid="{166EF578-7E74-4769-BE78-89B0DCA88C59}"/>
    <cellStyle name="20% - 강조색6 115" xfId="2340" xr:uid="{1D5A8300-F688-4E13-9D4F-207EFB750A0F}"/>
    <cellStyle name="20% - 강조색6 116" xfId="2360" xr:uid="{6DE21A02-FBF1-47F6-B322-85C71907CD65}"/>
    <cellStyle name="20% - 강조색6 117" xfId="2380" xr:uid="{869BBCF8-0851-4BB1-BEF4-FFA9FDB92F00}"/>
    <cellStyle name="20% - 강조색6 118" xfId="2400" xr:uid="{B68E5864-3CF3-42D1-A713-37DE3A047D2A}"/>
    <cellStyle name="20% - 강조색6 119" xfId="2420" xr:uid="{B7038487-7AE9-4AE8-8A22-BE1535CD17B8}"/>
    <cellStyle name="20% - 강조색6 12" xfId="273" xr:uid="{00000000-0005-0000-0000-000046020000}"/>
    <cellStyle name="20% - 강조색6 120" xfId="2440" xr:uid="{FBDB88BE-6317-4346-9131-CA53351C3F36}"/>
    <cellStyle name="20% - 강조색6 121" xfId="2460" xr:uid="{F6B8C065-5269-47A5-A7FD-E1916222ECF9}"/>
    <cellStyle name="20% - 강조색6 122" xfId="2480" xr:uid="{7F8FC522-F090-40E4-AABB-CCF92D16A4C3}"/>
    <cellStyle name="20% - 강조색6 123" xfId="2500" xr:uid="{9CE475F9-184D-49DE-A16E-BB8DDE43C6E9}"/>
    <cellStyle name="20% - 강조색6 124" xfId="2520" xr:uid="{B07980D8-39B5-49CD-A63C-E7372F7671C3}"/>
    <cellStyle name="20% - 강조색6 125" xfId="2540" xr:uid="{77EE04A8-2319-475C-8814-F2B5152BF589}"/>
    <cellStyle name="20% - 강조색6 126" xfId="2560" xr:uid="{E21577A3-BAFD-46CB-9B45-0EC49B59E090}"/>
    <cellStyle name="20% - 강조색6 127" xfId="2580" xr:uid="{67DBAA43-C966-45A0-A6FC-0CE43A3B68E8}"/>
    <cellStyle name="20% - 강조색6 128" xfId="2600" xr:uid="{FE43D336-59E6-4A03-9B79-4F353297D698}"/>
    <cellStyle name="20% - 강조색6 129" xfId="2620" xr:uid="{6CE0561D-9C84-4215-AFEC-4CC526FEA594}"/>
    <cellStyle name="20% - 강조색6 13" xfId="293" xr:uid="{00000000-0005-0000-0000-000047020000}"/>
    <cellStyle name="20% - 강조색6 130" xfId="2640" xr:uid="{665D9A8D-DA23-4239-B9C0-6F86D62B9543}"/>
    <cellStyle name="20% - 강조색6 131" xfId="2660" xr:uid="{6A7EA245-4EDC-4A64-89C2-8D3CE2257BBB}"/>
    <cellStyle name="20% - 강조색6 132" xfId="2680" xr:uid="{4D4C107A-E956-4404-9A35-8C39DCBF017C}"/>
    <cellStyle name="20% - 강조색6 133" xfId="2700" xr:uid="{659CA5DD-D9E4-40F7-98ED-BAB4125F2069}"/>
    <cellStyle name="20% - 강조색6 134" xfId="2720" xr:uid="{A29A3455-60AC-43D3-A2DE-9F895C2CC6A8}"/>
    <cellStyle name="20% - 강조색6 14" xfId="313" xr:uid="{00000000-0005-0000-0000-000048020000}"/>
    <cellStyle name="20% - 강조색6 15" xfId="333" xr:uid="{00000000-0005-0000-0000-000049020000}"/>
    <cellStyle name="20% - 강조색6 16" xfId="353" xr:uid="{00000000-0005-0000-0000-00004A020000}"/>
    <cellStyle name="20% - 강조색6 17" xfId="373" xr:uid="{00000000-0005-0000-0000-00004B020000}"/>
    <cellStyle name="20% - 강조색6 18" xfId="393" xr:uid="{00000000-0005-0000-0000-00004C020000}"/>
    <cellStyle name="20% - 강조색6 19" xfId="413" xr:uid="{00000000-0005-0000-0000-00004D020000}"/>
    <cellStyle name="20% - 강조색6 2" xfId="57" xr:uid="{00000000-0005-0000-0000-00004E020000}"/>
    <cellStyle name="20% - 강조색6 20" xfId="433" xr:uid="{00000000-0005-0000-0000-00004F020000}"/>
    <cellStyle name="20% - 강조색6 21" xfId="453" xr:uid="{00000000-0005-0000-0000-000050020000}"/>
    <cellStyle name="20% - 강조색6 22" xfId="473" xr:uid="{00000000-0005-0000-0000-000051020000}"/>
    <cellStyle name="20% - 강조색6 23" xfId="493" xr:uid="{00000000-0005-0000-0000-000052020000}"/>
    <cellStyle name="20% - 강조색6 24" xfId="513" xr:uid="{00000000-0005-0000-0000-000053020000}"/>
    <cellStyle name="20% - 강조색6 25" xfId="533" xr:uid="{00000000-0005-0000-0000-000054020000}"/>
    <cellStyle name="20% - 강조색6 26" xfId="553" xr:uid="{00000000-0005-0000-0000-000055020000}"/>
    <cellStyle name="20% - 강조색6 27" xfId="573" xr:uid="{00000000-0005-0000-0000-000056020000}"/>
    <cellStyle name="20% - 강조색6 28" xfId="593" xr:uid="{00000000-0005-0000-0000-000057020000}"/>
    <cellStyle name="20% - 강조색6 29" xfId="613" xr:uid="{00000000-0005-0000-0000-000058020000}"/>
    <cellStyle name="20% - 강조색6 3" xfId="93" xr:uid="{00000000-0005-0000-0000-000059020000}"/>
    <cellStyle name="20% - 강조색6 30" xfId="633" xr:uid="{00000000-0005-0000-0000-00005A020000}"/>
    <cellStyle name="20% - 강조색6 31" xfId="653" xr:uid="{00000000-0005-0000-0000-00005B020000}"/>
    <cellStyle name="20% - 강조색6 32" xfId="673" xr:uid="{00000000-0005-0000-0000-00005C020000}"/>
    <cellStyle name="20% - 강조색6 33" xfId="693" xr:uid="{00000000-0005-0000-0000-00005D020000}"/>
    <cellStyle name="20% - 강조색6 34" xfId="713" xr:uid="{00000000-0005-0000-0000-00005E020000}"/>
    <cellStyle name="20% - 강조색6 35" xfId="733" xr:uid="{00000000-0005-0000-0000-00005F020000}"/>
    <cellStyle name="20% - 강조색6 36" xfId="753" xr:uid="{00000000-0005-0000-0000-000060020000}"/>
    <cellStyle name="20% - 강조색6 37" xfId="773" xr:uid="{00000000-0005-0000-0000-000061020000}"/>
    <cellStyle name="20% - 강조색6 38" xfId="793" xr:uid="{00000000-0005-0000-0000-000062020000}"/>
    <cellStyle name="20% - 강조색6 39" xfId="813" xr:uid="{00000000-0005-0000-0000-000063020000}"/>
    <cellStyle name="20% - 강조색6 4" xfId="113" xr:uid="{00000000-0005-0000-0000-000064020000}"/>
    <cellStyle name="20% - 강조색6 40" xfId="833" xr:uid="{00000000-0005-0000-0000-000065020000}"/>
    <cellStyle name="20% - 강조색6 41" xfId="853" xr:uid="{00000000-0005-0000-0000-000066020000}"/>
    <cellStyle name="20% - 강조색6 42" xfId="873" xr:uid="{00000000-0005-0000-0000-000067020000}"/>
    <cellStyle name="20% - 강조색6 43" xfId="893" xr:uid="{00000000-0005-0000-0000-000068020000}"/>
    <cellStyle name="20% - 강조색6 44" xfId="913" xr:uid="{00000000-0005-0000-0000-000069020000}"/>
    <cellStyle name="20% - 강조색6 45" xfId="933" xr:uid="{00000000-0005-0000-0000-00006A020000}"/>
    <cellStyle name="20% - 강조색6 46" xfId="953" xr:uid="{00000000-0005-0000-0000-00006B020000}"/>
    <cellStyle name="20% - 강조색6 47" xfId="973" xr:uid="{00000000-0005-0000-0000-00006C020000}"/>
    <cellStyle name="20% - 강조색6 48" xfId="993" xr:uid="{00000000-0005-0000-0000-00006D020000}"/>
    <cellStyle name="20% - 강조색6 49" xfId="1013" xr:uid="{00000000-0005-0000-0000-00006E020000}"/>
    <cellStyle name="20% - 강조색6 5" xfId="133" xr:uid="{00000000-0005-0000-0000-00006F020000}"/>
    <cellStyle name="20% - 강조색6 50" xfId="1033" xr:uid="{00000000-0005-0000-0000-000070020000}"/>
    <cellStyle name="20% - 강조색6 51" xfId="1053" xr:uid="{00000000-0005-0000-0000-000071020000}"/>
    <cellStyle name="20% - 강조색6 52" xfId="1073" xr:uid="{00000000-0005-0000-0000-000072020000}"/>
    <cellStyle name="20% - 강조색6 53" xfId="1093" xr:uid="{00000000-0005-0000-0000-000073020000}"/>
    <cellStyle name="20% - 강조색6 54" xfId="1113" xr:uid="{00000000-0005-0000-0000-000074020000}"/>
    <cellStyle name="20% - 강조색6 55" xfId="1133" xr:uid="{00000000-0005-0000-0000-000075020000}"/>
    <cellStyle name="20% - 강조색6 56" xfId="1153" xr:uid="{00000000-0005-0000-0000-000076020000}"/>
    <cellStyle name="20% - 강조색6 57" xfId="1173" xr:uid="{00000000-0005-0000-0000-000077020000}"/>
    <cellStyle name="20% - 강조색6 58" xfId="1193" xr:uid="{00000000-0005-0000-0000-000078020000}"/>
    <cellStyle name="20% - 강조색6 59" xfId="1213" xr:uid="{00000000-0005-0000-0000-000079020000}"/>
    <cellStyle name="20% - 강조색6 6" xfId="153" xr:uid="{00000000-0005-0000-0000-00007A020000}"/>
    <cellStyle name="20% - 강조색6 60" xfId="1233" xr:uid="{00000000-0005-0000-0000-00007B020000}"/>
    <cellStyle name="20% - 강조색6 61" xfId="1253" xr:uid="{00000000-0005-0000-0000-00007C020000}"/>
    <cellStyle name="20% - 강조색6 62" xfId="1273" xr:uid="{00000000-0005-0000-0000-00007D020000}"/>
    <cellStyle name="20% - 강조색6 63" xfId="1293" xr:uid="{00000000-0005-0000-0000-00007E020000}"/>
    <cellStyle name="20% - 강조색6 64" xfId="1313" xr:uid="{00000000-0005-0000-0000-00007F020000}"/>
    <cellStyle name="20% - 강조색6 65" xfId="1333" xr:uid="{00000000-0005-0000-0000-000080020000}"/>
    <cellStyle name="20% - 강조색6 66" xfId="1353" xr:uid="{00000000-0005-0000-0000-000081020000}"/>
    <cellStyle name="20% - 강조색6 67" xfId="1373" xr:uid="{00000000-0005-0000-0000-000082020000}"/>
    <cellStyle name="20% - 강조색6 68" xfId="1393" xr:uid="{00000000-0005-0000-0000-000083020000}"/>
    <cellStyle name="20% - 강조색6 69" xfId="1413" xr:uid="{00000000-0005-0000-0000-000084020000}"/>
    <cellStyle name="20% - 강조색6 7" xfId="173" xr:uid="{00000000-0005-0000-0000-000085020000}"/>
    <cellStyle name="20% - 강조색6 70" xfId="1433" xr:uid="{00000000-0005-0000-0000-000086020000}"/>
    <cellStyle name="20% - 강조색6 71" xfId="1453" xr:uid="{00000000-0005-0000-0000-000087020000}"/>
    <cellStyle name="20% - 강조색6 72" xfId="1473" xr:uid="{00000000-0005-0000-0000-000088020000}"/>
    <cellStyle name="20% - 강조색6 73" xfId="1493" xr:uid="{00000000-0005-0000-0000-000089020000}"/>
    <cellStyle name="20% - 강조색6 74" xfId="1513" xr:uid="{00000000-0005-0000-0000-00008A020000}"/>
    <cellStyle name="20% - 강조색6 75" xfId="1533" xr:uid="{00000000-0005-0000-0000-00008B020000}"/>
    <cellStyle name="20% - 강조색6 76" xfId="1553" xr:uid="{00000000-0005-0000-0000-00008C020000}"/>
    <cellStyle name="20% - 강조색6 77" xfId="1573" xr:uid="{00000000-0005-0000-0000-00008D020000}"/>
    <cellStyle name="20% - 강조색6 78" xfId="1593" xr:uid="{00000000-0005-0000-0000-00008E020000}"/>
    <cellStyle name="20% - 강조색6 79" xfId="1613" xr:uid="{00000000-0005-0000-0000-00008F020000}"/>
    <cellStyle name="20% - 강조색6 8" xfId="193" xr:uid="{00000000-0005-0000-0000-000090020000}"/>
    <cellStyle name="20% - 강조색6 80" xfId="1633" xr:uid="{00000000-0005-0000-0000-000091020000}"/>
    <cellStyle name="20% - 강조색6 81" xfId="1653" xr:uid="{00000000-0005-0000-0000-000092020000}"/>
    <cellStyle name="20% - 강조색6 82" xfId="1673" xr:uid="{00000000-0005-0000-0000-000093020000}"/>
    <cellStyle name="20% - 강조색6 83" xfId="1693" xr:uid="{00000000-0005-0000-0000-000094020000}"/>
    <cellStyle name="20% - 강조색6 84" xfId="1713" xr:uid="{00000000-0005-0000-0000-000095020000}"/>
    <cellStyle name="20% - 강조색6 85" xfId="1733" xr:uid="{00000000-0005-0000-0000-000096020000}"/>
    <cellStyle name="20% - 강조색6 86" xfId="1753" xr:uid="{00000000-0005-0000-0000-000097020000}"/>
    <cellStyle name="20% - 강조색6 87" xfId="1773" xr:uid="{00000000-0005-0000-0000-000098020000}"/>
    <cellStyle name="20% - 강조색6 88" xfId="1793" xr:uid="{00000000-0005-0000-0000-000099020000}"/>
    <cellStyle name="20% - 강조색6 89" xfId="1813" xr:uid="{00000000-0005-0000-0000-00009A020000}"/>
    <cellStyle name="20% - 강조색6 9" xfId="213" xr:uid="{00000000-0005-0000-0000-00009B020000}"/>
    <cellStyle name="20% - 강조색6 90" xfId="1833" xr:uid="{00000000-0005-0000-0000-00009C020000}"/>
    <cellStyle name="20% - 강조색6 91" xfId="1853" xr:uid="{00000000-0005-0000-0000-00009D020000}"/>
    <cellStyle name="20% - 강조색6 92" xfId="1873" xr:uid="{00000000-0005-0000-0000-00009E020000}"/>
    <cellStyle name="20% - 강조색6 93" xfId="1893" xr:uid="{00000000-0005-0000-0000-00009F020000}"/>
    <cellStyle name="20% - 강조색6 94" xfId="1913" xr:uid="{00000000-0005-0000-0000-0000A0020000}"/>
    <cellStyle name="20% - 강조색6 95" xfId="1933" xr:uid="{00000000-0005-0000-0000-0000A1020000}"/>
    <cellStyle name="20% - 강조색6 96" xfId="1953" xr:uid="{00000000-0005-0000-0000-0000A2020000}"/>
    <cellStyle name="20% - 강조색6 97" xfId="1973" xr:uid="{00000000-0005-0000-0000-0000A3020000}"/>
    <cellStyle name="20% - 강조색6 98" xfId="1993" xr:uid="{00000000-0005-0000-0000-0000A4020000}"/>
    <cellStyle name="20% - 강조색6 99" xfId="2013" xr:uid="{00000000-0005-0000-0000-0000A5020000}"/>
    <cellStyle name="40% - 강조색1" xfId="21" builtinId="31" customBuiltin="1"/>
    <cellStyle name="40% - 강조색1 10" xfId="219" xr:uid="{00000000-0005-0000-0000-0000A7020000}"/>
    <cellStyle name="40% - 강조색1 100" xfId="2019" xr:uid="{00000000-0005-0000-0000-0000A8020000}"/>
    <cellStyle name="40% - 강조색1 101" xfId="2039" xr:uid="{00000000-0005-0000-0000-0000A9020000}"/>
    <cellStyle name="40% - 강조색1 102" xfId="2059" xr:uid="{00000000-0005-0000-0000-0000AA020000}"/>
    <cellStyle name="40% - 강조색1 103" xfId="2079" xr:uid="{00000000-0005-0000-0000-0000AB020000}"/>
    <cellStyle name="40% - 강조색1 104" xfId="2099" xr:uid="{00000000-0005-0000-0000-0000AC020000}"/>
    <cellStyle name="40% - 강조색1 105" xfId="2119" xr:uid="{00000000-0005-0000-0000-0000AD020000}"/>
    <cellStyle name="40% - 강조색1 106" xfId="2139" xr:uid="{00000000-0005-0000-0000-0000AE020000}"/>
    <cellStyle name="40% - 강조색1 107" xfId="2159" xr:uid="{00000000-0005-0000-0000-0000AF020000}"/>
    <cellStyle name="40% - 강조색1 108" xfId="2179" xr:uid="{00000000-0005-0000-0000-0000B0020000}"/>
    <cellStyle name="40% - 강조색1 109" xfId="2199" xr:uid="{00000000-0005-0000-0000-0000B1020000}"/>
    <cellStyle name="40% - 강조색1 11" xfId="239" xr:uid="{00000000-0005-0000-0000-0000B2020000}"/>
    <cellStyle name="40% - 강조색1 110" xfId="2219" xr:uid="{00000000-0005-0000-0000-0000B3020000}"/>
    <cellStyle name="40% - 강조색1 111" xfId="2242" xr:uid="{00000000-0005-0000-0000-0000B4020000}"/>
    <cellStyle name="40% - 강조색1 112" xfId="2264" xr:uid="{00000000-0005-0000-0000-0000B5020000}"/>
    <cellStyle name="40% - 강조색1 113" xfId="2286" xr:uid="{00000000-0005-0000-0000-0000B6020000}"/>
    <cellStyle name="40% - 강조색1 114" xfId="2306" xr:uid="{A2492EF7-750B-44FE-B400-39B690F85DC0}"/>
    <cellStyle name="40% - 강조색1 115" xfId="2326" xr:uid="{656566D8-FC0C-4DE9-8316-7E3B032D5B90}"/>
    <cellStyle name="40% - 강조색1 116" xfId="2346" xr:uid="{620A3C8F-D329-4344-8D10-143ABCF69369}"/>
    <cellStyle name="40% - 강조색1 117" xfId="2366" xr:uid="{CFBF5704-52B4-41A0-873E-C575A4F429EF}"/>
    <cellStyle name="40% - 강조색1 118" xfId="2386" xr:uid="{09594FB7-D156-4EF9-8C91-0F0CB3141CCB}"/>
    <cellStyle name="40% - 강조색1 119" xfId="2406" xr:uid="{A2AA1609-ABE8-47E3-B42C-BCFD8CBB796E}"/>
    <cellStyle name="40% - 강조색1 12" xfId="259" xr:uid="{00000000-0005-0000-0000-0000B7020000}"/>
    <cellStyle name="40% - 강조색1 120" xfId="2426" xr:uid="{B73328B3-4353-4A48-B258-C44812B74146}"/>
    <cellStyle name="40% - 강조색1 121" xfId="2446" xr:uid="{72A80357-8463-4C60-8F55-B341F62BE233}"/>
    <cellStyle name="40% - 강조색1 122" xfId="2466" xr:uid="{26C1A151-1325-4F75-8007-43A326EF9455}"/>
    <cellStyle name="40% - 강조색1 123" xfId="2486" xr:uid="{9FC1DA68-C3F9-43A6-A537-CB570EBB47F8}"/>
    <cellStyle name="40% - 강조색1 124" xfId="2506" xr:uid="{73D87042-7BC2-4660-8A91-7D0A98B9A8F7}"/>
    <cellStyle name="40% - 강조색1 125" xfId="2526" xr:uid="{8076E1BE-134B-42D5-8094-95BFE45B887D}"/>
    <cellStyle name="40% - 강조색1 126" xfId="2546" xr:uid="{D00BE13F-AA53-4002-A4A5-3E5C28028C5C}"/>
    <cellStyle name="40% - 강조색1 127" xfId="2566" xr:uid="{71A66511-B273-4598-9804-83E40BD23E1C}"/>
    <cellStyle name="40% - 강조색1 128" xfId="2586" xr:uid="{9BB4FB02-8D98-447A-A54B-26C71658DAFE}"/>
    <cellStyle name="40% - 강조색1 129" xfId="2606" xr:uid="{684BEBCB-2FB7-48FE-9130-9B168744D029}"/>
    <cellStyle name="40% - 강조색1 13" xfId="279" xr:uid="{00000000-0005-0000-0000-0000B8020000}"/>
    <cellStyle name="40% - 강조색1 130" xfId="2626" xr:uid="{E51BF8CA-22C2-41F1-A804-5E46CE27431F}"/>
    <cellStyle name="40% - 강조색1 131" xfId="2646" xr:uid="{0499DC14-DF47-4646-8FAA-173D655C00F2}"/>
    <cellStyle name="40% - 강조색1 132" xfId="2666" xr:uid="{D0FAB579-1DAB-4F55-AB11-4E87777858BD}"/>
    <cellStyle name="40% - 강조색1 133" xfId="2686" xr:uid="{6BED953B-A21A-429E-A73B-94DD1E05B4F5}"/>
    <cellStyle name="40% - 강조색1 134" xfId="2706" xr:uid="{A2740BC3-7CFF-46CB-B367-FF31D803CED5}"/>
    <cellStyle name="40% - 강조색1 14" xfId="299" xr:uid="{00000000-0005-0000-0000-0000B9020000}"/>
    <cellStyle name="40% - 강조색1 15" xfId="319" xr:uid="{00000000-0005-0000-0000-0000BA020000}"/>
    <cellStyle name="40% - 강조색1 16" xfId="339" xr:uid="{00000000-0005-0000-0000-0000BB020000}"/>
    <cellStyle name="40% - 강조색1 17" xfId="359" xr:uid="{00000000-0005-0000-0000-0000BC020000}"/>
    <cellStyle name="40% - 강조색1 18" xfId="379" xr:uid="{00000000-0005-0000-0000-0000BD020000}"/>
    <cellStyle name="40% - 강조색1 19" xfId="399" xr:uid="{00000000-0005-0000-0000-0000BE020000}"/>
    <cellStyle name="40% - 강조색1 2" xfId="48" xr:uid="{00000000-0005-0000-0000-0000BF020000}"/>
    <cellStyle name="40% - 강조색1 20" xfId="419" xr:uid="{00000000-0005-0000-0000-0000C0020000}"/>
    <cellStyle name="40% - 강조색1 21" xfId="439" xr:uid="{00000000-0005-0000-0000-0000C1020000}"/>
    <cellStyle name="40% - 강조색1 22" xfId="459" xr:uid="{00000000-0005-0000-0000-0000C2020000}"/>
    <cellStyle name="40% - 강조색1 23" xfId="479" xr:uid="{00000000-0005-0000-0000-0000C3020000}"/>
    <cellStyle name="40% - 강조색1 24" xfId="499" xr:uid="{00000000-0005-0000-0000-0000C4020000}"/>
    <cellStyle name="40% - 강조색1 25" xfId="519" xr:uid="{00000000-0005-0000-0000-0000C5020000}"/>
    <cellStyle name="40% - 강조색1 26" xfId="539" xr:uid="{00000000-0005-0000-0000-0000C6020000}"/>
    <cellStyle name="40% - 강조색1 27" xfId="559" xr:uid="{00000000-0005-0000-0000-0000C7020000}"/>
    <cellStyle name="40% - 강조색1 28" xfId="579" xr:uid="{00000000-0005-0000-0000-0000C8020000}"/>
    <cellStyle name="40% - 강조색1 29" xfId="599" xr:uid="{00000000-0005-0000-0000-0000C9020000}"/>
    <cellStyle name="40% - 강조색1 3" xfId="74" xr:uid="{00000000-0005-0000-0000-0000CA020000}"/>
    <cellStyle name="40% - 강조색1 30" xfId="619" xr:uid="{00000000-0005-0000-0000-0000CB020000}"/>
    <cellStyle name="40% - 강조색1 31" xfId="639" xr:uid="{00000000-0005-0000-0000-0000CC020000}"/>
    <cellStyle name="40% - 강조색1 32" xfId="659" xr:uid="{00000000-0005-0000-0000-0000CD020000}"/>
    <cellStyle name="40% - 강조색1 33" xfId="679" xr:uid="{00000000-0005-0000-0000-0000CE020000}"/>
    <cellStyle name="40% - 강조색1 34" xfId="699" xr:uid="{00000000-0005-0000-0000-0000CF020000}"/>
    <cellStyle name="40% - 강조색1 35" xfId="719" xr:uid="{00000000-0005-0000-0000-0000D0020000}"/>
    <cellStyle name="40% - 강조색1 36" xfId="739" xr:uid="{00000000-0005-0000-0000-0000D1020000}"/>
    <cellStyle name="40% - 강조색1 37" xfId="759" xr:uid="{00000000-0005-0000-0000-0000D2020000}"/>
    <cellStyle name="40% - 강조색1 38" xfId="779" xr:uid="{00000000-0005-0000-0000-0000D3020000}"/>
    <cellStyle name="40% - 강조색1 39" xfId="799" xr:uid="{00000000-0005-0000-0000-0000D4020000}"/>
    <cellStyle name="40% - 강조색1 4" xfId="99" xr:uid="{00000000-0005-0000-0000-0000D5020000}"/>
    <cellStyle name="40% - 강조색1 40" xfId="819" xr:uid="{00000000-0005-0000-0000-0000D6020000}"/>
    <cellStyle name="40% - 강조색1 41" xfId="839" xr:uid="{00000000-0005-0000-0000-0000D7020000}"/>
    <cellStyle name="40% - 강조색1 42" xfId="859" xr:uid="{00000000-0005-0000-0000-0000D8020000}"/>
    <cellStyle name="40% - 강조색1 43" xfId="879" xr:uid="{00000000-0005-0000-0000-0000D9020000}"/>
    <cellStyle name="40% - 강조색1 44" xfId="899" xr:uid="{00000000-0005-0000-0000-0000DA020000}"/>
    <cellStyle name="40% - 강조색1 45" xfId="919" xr:uid="{00000000-0005-0000-0000-0000DB020000}"/>
    <cellStyle name="40% - 강조색1 46" xfId="939" xr:uid="{00000000-0005-0000-0000-0000DC020000}"/>
    <cellStyle name="40% - 강조색1 47" xfId="959" xr:uid="{00000000-0005-0000-0000-0000DD020000}"/>
    <cellStyle name="40% - 강조색1 48" xfId="979" xr:uid="{00000000-0005-0000-0000-0000DE020000}"/>
    <cellStyle name="40% - 강조색1 49" xfId="999" xr:uid="{00000000-0005-0000-0000-0000DF020000}"/>
    <cellStyle name="40% - 강조색1 5" xfId="119" xr:uid="{00000000-0005-0000-0000-0000E0020000}"/>
    <cellStyle name="40% - 강조색1 50" xfId="1019" xr:uid="{00000000-0005-0000-0000-0000E1020000}"/>
    <cellStyle name="40% - 강조색1 51" xfId="1039" xr:uid="{00000000-0005-0000-0000-0000E2020000}"/>
    <cellStyle name="40% - 강조색1 52" xfId="1059" xr:uid="{00000000-0005-0000-0000-0000E3020000}"/>
    <cellStyle name="40% - 강조색1 53" xfId="1079" xr:uid="{00000000-0005-0000-0000-0000E4020000}"/>
    <cellStyle name="40% - 강조색1 54" xfId="1099" xr:uid="{00000000-0005-0000-0000-0000E5020000}"/>
    <cellStyle name="40% - 강조색1 55" xfId="1119" xr:uid="{00000000-0005-0000-0000-0000E6020000}"/>
    <cellStyle name="40% - 강조색1 56" xfId="1139" xr:uid="{00000000-0005-0000-0000-0000E7020000}"/>
    <cellStyle name="40% - 강조색1 57" xfId="1159" xr:uid="{00000000-0005-0000-0000-0000E8020000}"/>
    <cellStyle name="40% - 강조색1 58" xfId="1179" xr:uid="{00000000-0005-0000-0000-0000E9020000}"/>
    <cellStyle name="40% - 강조색1 59" xfId="1199" xr:uid="{00000000-0005-0000-0000-0000EA020000}"/>
    <cellStyle name="40% - 강조색1 6" xfId="139" xr:uid="{00000000-0005-0000-0000-0000EB020000}"/>
    <cellStyle name="40% - 강조색1 60" xfId="1219" xr:uid="{00000000-0005-0000-0000-0000EC020000}"/>
    <cellStyle name="40% - 강조색1 61" xfId="1239" xr:uid="{00000000-0005-0000-0000-0000ED020000}"/>
    <cellStyle name="40% - 강조색1 62" xfId="1259" xr:uid="{00000000-0005-0000-0000-0000EE020000}"/>
    <cellStyle name="40% - 강조색1 63" xfId="1279" xr:uid="{00000000-0005-0000-0000-0000EF020000}"/>
    <cellStyle name="40% - 강조색1 64" xfId="1299" xr:uid="{00000000-0005-0000-0000-0000F0020000}"/>
    <cellStyle name="40% - 강조색1 65" xfId="1319" xr:uid="{00000000-0005-0000-0000-0000F1020000}"/>
    <cellStyle name="40% - 강조색1 66" xfId="1339" xr:uid="{00000000-0005-0000-0000-0000F2020000}"/>
    <cellStyle name="40% - 강조색1 67" xfId="1359" xr:uid="{00000000-0005-0000-0000-0000F3020000}"/>
    <cellStyle name="40% - 강조색1 68" xfId="1379" xr:uid="{00000000-0005-0000-0000-0000F4020000}"/>
    <cellStyle name="40% - 강조색1 69" xfId="1399" xr:uid="{00000000-0005-0000-0000-0000F5020000}"/>
    <cellStyle name="40% - 강조색1 7" xfId="159" xr:uid="{00000000-0005-0000-0000-0000F6020000}"/>
    <cellStyle name="40% - 강조색1 70" xfId="1419" xr:uid="{00000000-0005-0000-0000-0000F7020000}"/>
    <cellStyle name="40% - 강조색1 71" xfId="1439" xr:uid="{00000000-0005-0000-0000-0000F8020000}"/>
    <cellStyle name="40% - 강조색1 72" xfId="1459" xr:uid="{00000000-0005-0000-0000-0000F9020000}"/>
    <cellStyle name="40% - 강조색1 73" xfId="1479" xr:uid="{00000000-0005-0000-0000-0000FA020000}"/>
    <cellStyle name="40% - 강조색1 74" xfId="1499" xr:uid="{00000000-0005-0000-0000-0000FB020000}"/>
    <cellStyle name="40% - 강조색1 75" xfId="1519" xr:uid="{00000000-0005-0000-0000-0000FC020000}"/>
    <cellStyle name="40% - 강조색1 76" xfId="1539" xr:uid="{00000000-0005-0000-0000-0000FD020000}"/>
    <cellStyle name="40% - 강조색1 77" xfId="1559" xr:uid="{00000000-0005-0000-0000-0000FE020000}"/>
    <cellStyle name="40% - 강조색1 78" xfId="1579" xr:uid="{00000000-0005-0000-0000-0000FF020000}"/>
    <cellStyle name="40% - 강조색1 79" xfId="1599" xr:uid="{00000000-0005-0000-0000-000000030000}"/>
    <cellStyle name="40% - 강조색1 8" xfId="179" xr:uid="{00000000-0005-0000-0000-000001030000}"/>
    <cellStyle name="40% - 강조색1 80" xfId="1619" xr:uid="{00000000-0005-0000-0000-000002030000}"/>
    <cellStyle name="40% - 강조색1 81" xfId="1639" xr:uid="{00000000-0005-0000-0000-000003030000}"/>
    <cellStyle name="40% - 강조색1 82" xfId="1659" xr:uid="{00000000-0005-0000-0000-000004030000}"/>
    <cellStyle name="40% - 강조색1 83" xfId="1679" xr:uid="{00000000-0005-0000-0000-000005030000}"/>
    <cellStyle name="40% - 강조색1 84" xfId="1699" xr:uid="{00000000-0005-0000-0000-000006030000}"/>
    <cellStyle name="40% - 강조색1 85" xfId="1719" xr:uid="{00000000-0005-0000-0000-000007030000}"/>
    <cellStyle name="40% - 강조색1 86" xfId="1739" xr:uid="{00000000-0005-0000-0000-000008030000}"/>
    <cellStyle name="40% - 강조색1 87" xfId="1759" xr:uid="{00000000-0005-0000-0000-000009030000}"/>
    <cellStyle name="40% - 강조색1 88" xfId="1779" xr:uid="{00000000-0005-0000-0000-00000A030000}"/>
    <cellStyle name="40% - 강조색1 89" xfId="1799" xr:uid="{00000000-0005-0000-0000-00000B030000}"/>
    <cellStyle name="40% - 강조색1 9" xfId="199" xr:uid="{00000000-0005-0000-0000-00000C030000}"/>
    <cellStyle name="40% - 강조색1 90" xfId="1819" xr:uid="{00000000-0005-0000-0000-00000D030000}"/>
    <cellStyle name="40% - 강조색1 91" xfId="1839" xr:uid="{00000000-0005-0000-0000-00000E030000}"/>
    <cellStyle name="40% - 강조색1 92" xfId="1859" xr:uid="{00000000-0005-0000-0000-00000F030000}"/>
    <cellStyle name="40% - 강조색1 93" xfId="1879" xr:uid="{00000000-0005-0000-0000-000010030000}"/>
    <cellStyle name="40% - 강조색1 94" xfId="1899" xr:uid="{00000000-0005-0000-0000-000011030000}"/>
    <cellStyle name="40% - 강조색1 95" xfId="1919" xr:uid="{00000000-0005-0000-0000-000012030000}"/>
    <cellStyle name="40% - 강조색1 96" xfId="1939" xr:uid="{00000000-0005-0000-0000-000013030000}"/>
    <cellStyle name="40% - 강조색1 97" xfId="1959" xr:uid="{00000000-0005-0000-0000-000014030000}"/>
    <cellStyle name="40% - 강조색1 98" xfId="1979" xr:uid="{00000000-0005-0000-0000-000015030000}"/>
    <cellStyle name="40% - 강조색1 99" xfId="1999" xr:uid="{00000000-0005-0000-0000-000016030000}"/>
    <cellStyle name="40% - 강조색2" xfId="25" builtinId="35" customBuiltin="1"/>
    <cellStyle name="40% - 강조색2 10" xfId="222" xr:uid="{00000000-0005-0000-0000-000018030000}"/>
    <cellStyle name="40% - 강조색2 100" xfId="2022" xr:uid="{00000000-0005-0000-0000-000019030000}"/>
    <cellStyle name="40% - 강조색2 101" xfId="2042" xr:uid="{00000000-0005-0000-0000-00001A030000}"/>
    <cellStyle name="40% - 강조색2 102" xfId="2062" xr:uid="{00000000-0005-0000-0000-00001B030000}"/>
    <cellStyle name="40% - 강조색2 103" xfId="2082" xr:uid="{00000000-0005-0000-0000-00001C030000}"/>
    <cellStyle name="40% - 강조색2 104" xfId="2102" xr:uid="{00000000-0005-0000-0000-00001D030000}"/>
    <cellStyle name="40% - 강조색2 105" xfId="2122" xr:uid="{00000000-0005-0000-0000-00001E030000}"/>
    <cellStyle name="40% - 강조색2 106" xfId="2142" xr:uid="{00000000-0005-0000-0000-00001F030000}"/>
    <cellStyle name="40% - 강조색2 107" xfId="2162" xr:uid="{00000000-0005-0000-0000-000020030000}"/>
    <cellStyle name="40% - 강조색2 108" xfId="2182" xr:uid="{00000000-0005-0000-0000-000021030000}"/>
    <cellStyle name="40% - 강조색2 109" xfId="2202" xr:uid="{00000000-0005-0000-0000-000022030000}"/>
    <cellStyle name="40% - 강조색2 11" xfId="242" xr:uid="{00000000-0005-0000-0000-000023030000}"/>
    <cellStyle name="40% - 강조색2 110" xfId="2222" xr:uid="{00000000-0005-0000-0000-000024030000}"/>
    <cellStyle name="40% - 강조색2 111" xfId="2245" xr:uid="{00000000-0005-0000-0000-000025030000}"/>
    <cellStyle name="40% - 강조색2 112" xfId="2267" xr:uid="{00000000-0005-0000-0000-000026030000}"/>
    <cellStyle name="40% - 강조색2 113" xfId="2289" xr:uid="{00000000-0005-0000-0000-000027030000}"/>
    <cellStyle name="40% - 강조색2 114" xfId="2309" xr:uid="{96842301-AECA-4453-A7B3-8989841261CD}"/>
    <cellStyle name="40% - 강조색2 115" xfId="2329" xr:uid="{B76941F5-9928-4F81-AC02-3B4F9EE12DFE}"/>
    <cellStyle name="40% - 강조색2 116" xfId="2349" xr:uid="{64E5BE5C-74EC-4B91-80F4-B5708DC8CABB}"/>
    <cellStyle name="40% - 강조색2 117" xfId="2369" xr:uid="{8C299B4C-D0F8-47A9-9B48-92BEACD11E9E}"/>
    <cellStyle name="40% - 강조색2 118" xfId="2389" xr:uid="{329B0B39-4774-4CF4-9024-12DE448768D8}"/>
    <cellStyle name="40% - 강조색2 119" xfId="2409" xr:uid="{66F17939-4AF9-4253-8B65-0BE0EE72206A}"/>
    <cellStyle name="40% - 강조색2 12" xfId="262" xr:uid="{00000000-0005-0000-0000-000028030000}"/>
    <cellStyle name="40% - 강조색2 120" xfId="2429" xr:uid="{BD86F86E-34F8-4B8F-AAAB-81E14B397A11}"/>
    <cellStyle name="40% - 강조색2 121" xfId="2449" xr:uid="{644C20AF-D11D-41CF-8EB8-F8B1DA4BD103}"/>
    <cellStyle name="40% - 강조색2 122" xfId="2469" xr:uid="{1DB22688-772D-47D7-B9D7-B9B9DF952A82}"/>
    <cellStyle name="40% - 강조색2 123" xfId="2489" xr:uid="{2F5FAD8B-0BB2-4490-AB9B-7AE87823E55F}"/>
    <cellStyle name="40% - 강조색2 124" xfId="2509" xr:uid="{5FF39F50-7A5C-42FD-8BBC-D95F2CC74D09}"/>
    <cellStyle name="40% - 강조색2 125" xfId="2529" xr:uid="{0F494E87-FA38-4388-BFAB-D529CA91B042}"/>
    <cellStyle name="40% - 강조색2 126" xfId="2549" xr:uid="{0D454A1E-9C72-4C20-BE11-CC93FBCE5F15}"/>
    <cellStyle name="40% - 강조색2 127" xfId="2569" xr:uid="{123641FA-751C-48A6-B381-CB4D342D0290}"/>
    <cellStyle name="40% - 강조색2 128" xfId="2589" xr:uid="{D2442F2B-E8FC-4F48-99BC-73DDCF9B9E30}"/>
    <cellStyle name="40% - 강조색2 129" xfId="2609" xr:uid="{66A00FF7-1A6C-4ACE-B921-52E6A8D4B20C}"/>
    <cellStyle name="40% - 강조색2 13" xfId="282" xr:uid="{00000000-0005-0000-0000-000029030000}"/>
    <cellStyle name="40% - 강조색2 130" xfId="2629" xr:uid="{6C10E752-8D93-4057-BC30-BAD1C30039AE}"/>
    <cellStyle name="40% - 강조색2 131" xfId="2649" xr:uid="{E0C6FB93-3F6B-4E5B-AD4B-D4DEE835D558}"/>
    <cellStyle name="40% - 강조색2 132" xfId="2669" xr:uid="{9A6800DC-9181-4F06-95CA-5D9CAEDA2E96}"/>
    <cellStyle name="40% - 강조색2 133" xfId="2689" xr:uid="{C0951115-45D4-49CD-892E-4EB53663CA7E}"/>
    <cellStyle name="40% - 강조색2 134" xfId="2709" xr:uid="{A1006DEC-576C-4777-BCE2-E12BA78F7002}"/>
    <cellStyle name="40% - 강조색2 14" xfId="302" xr:uid="{00000000-0005-0000-0000-00002A030000}"/>
    <cellStyle name="40% - 강조색2 15" xfId="322" xr:uid="{00000000-0005-0000-0000-00002B030000}"/>
    <cellStyle name="40% - 강조색2 16" xfId="342" xr:uid="{00000000-0005-0000-0000-00002C030000}"/>
    <cellStyle name="40% - 강조색2 17" xfId="362" xr:uid="{00000000-0005-0000-0000-00002D030000}"/>
    <cellStyle name="40% - 강조색2 18" xfId="382" xr:uid="{00000000-0005-0000-0000-00002E030000}"/>
    <cellStyle name="40% - 강조색2 19" xfId="402" xr:uid="{00000000-0005-0000-0000-00002F030000}"/>
    <cellStyle name="40% - 강조색2 2" xfId="50" xr:uid="{00000000-0005-0000-0000-000030030000}"/>
    <cellStyle name="40% - 강조색2 20" xfId="422" xr:uid="{00000000-0005-0000-0000-000031030000}"/>
    <cellStyle name="40% - 강조색2 21" xfId="442" xr:uid="{00000000-0005-0000-0000-000032030000}"/>
    <cellStyle name="40% - 강조색2 22" xfId="462" xr:uid="{00000000-0005-0000-0000-000033030000}"/>
    <cellStyle name="40% - 강조색2 23" xfId="482" xr:uid="{00000000-0005-0000-0000-000034030000}"/>
    <cellStyle name="40% - 강조색2 24" xfId="502" xr:uid="{00000000-0005-0000-0000-000035030000}"/>
    <cellStyle name="40% - 강조색2 25" xfId="522" xr:uid="{00000000-0005-0000-0000-000036030000}"/>
    <cellStyle name="40% - 강조색2 26" xfId="542" xr:uid="{00000000-0005-0000-0000-000037030000}"/>
    <cellStyle name="40% - 강조색2 27" xfId="562" xr:uid="{00000000-0005-0000-0000-000038030000}"/>
    <cellStyle name="40% - 강조색2 28" xfId="582" xr:uid="{00000000-0005-0000-0000-000039030000}"/>
    <cellStyle name="40% - 강조색2 29" xfId="602" xr:uid="{00000000-0005-0000-0000-00003A030000}"/>
    <cellStyle name="40% - 강조색2 3" xfId="78" xr:uid="{00000000-0005-0000-0000-00003B030000}"/>
    <cellStyle name="40% - 강조색2 30" xfId="622" xr:uid="{00000000-0005-0000-0000-00003C030000}"/>
    <cellStyle name="40% - 강조색2 31" xfId="642" xr:uid="{00000000-0005-0000-0000-00003D030000}"/>
    <cellStyle name="40% - 강조색2 32" xfId="662" xr:uid="{00000000-0005-0000-0000-00003E030000}"/>
    <cellStyle name="40% - 강조색2 33" xfId="682" xr:uid="{00000000-0005-0000-0000-00003F030000}"/>
    <cellStyle name="40% - 강조색2 34" xfId="702" xr:uid="{00000000-0005-0000-0000-000040030000}"/>
    <cellStyle name="40% - 강조색2 35" xfId="722" xr:uid="{00000000-0005-0000-0000-000041030000}"/>
    <cellStyle name="40% - 강조색2 36" xfId="742" xr:uid="{00000000-0005-0000-0000-000042030000}"/>
    <cellStyle name="40% - 강조색2 37" xfId="762" xr:uid="{00000000-0005-0000-0000-000043030000}"/>
    <cellStyle name="40% - 강조색2 38" xfId="782" xr:uid="{00000000-0005-0000-0000-000044030000}"/>
    <cellStyle name="40% - 강조색2 39" xfId="802" xr:uid="{00000000-0005-0000-0000-000045030000}"/>
    <cellStyle name="40% - 강조색2 4" xfId="102" xr:uid="{00000000-0005-0000-0000-000046030000}"/>
    <cellStyle name="40% - 강조색2 40" xfId="822" xr:uid="{00000000-0005-0000-0000-000047030000}"/>
    <cellStyle name="40% - 강조색2 41" xfId="842" xr:uid="{00000000-0005-0000-0000-000048030000}"/>
    <cellStyle name="40% - 강조색2 42" xfId="862" xr:uid="{00000000-0005-0000-0000-000049030000}"/>
    <cellStyle name="40% - 강조색2 43" xfId="882" xr:uid="{00000000-0005-0000-0000-00004A030000}"/>
    <cellStyle name="40% - 강조색2 44" xfId="902" xr:uid="{00000000-0005-0000-0000-00004B030000}"/>
    <cellStyle name="40% - 강조색2 45" xfId="922" xr:uid="{00000000-0005-0000-0000-00004C030000}"/>
    <cellStyle name="40% - 강조색2 46" xfId="942" xr:uid="{00000000-0005-0000-0000-00004D030000}"/>
    <cellStyle name="40% - 강조색2 47" xfId="962" xr:uid="{00000000-0005-0000-0000-00004E030000}"/>
    <cellStyle name="40% - 강조색2 48" xfId="982" xr:uid="{00000000-0005-0000-0000-00004F030000}"/>
    <cellStyle name="40% - 강조색2 49" xfId="1002" xr:uid="{00000000-0005-0000-0000-000050030000}"/>
    <cellStyle name="40% - 강조색2 5" xfId="122" xr:uid="{00000000-0005-0000-0000-000051030000}"/>
    <cellStyle name="40% - 강조색2 50" xfId="1022" xr:uid="{00000000-0005-0000-0000-000052030000}"/>
    <cellStyle name="40% - 강조색2 51" xfId="1042" xr:uid="{00000000-0005-0000-0000-000053030000}"/>
    <cellStyle name="40% - 강조색2 52" xfId="1062" xr:uid="{00000000-0005-0000-0000-000054030000}"/>
    <cellStyle name="40% - 강조색2 53" xfId="1082" xr:uid="{00000000-0005-0000-0000-000055030000}"/>
    <cellStyle name="40% - 강조색2 54" xfId="1102" xr:uid="{00000000-0005-0000-0000-000056030000}"/>
    <cellStyle name="40% - 강조색2 55" xfId="1122" xr:uid="{00000000-0005-0000-0000-000057030000}"/>
    <cellStyle name="40% - 강조색2 56" xfId="1142" xr:uid="{00000000-0005-0000-0000-000058030000}"/>
    <cellStyle name="40% - 강조색2 57" xfId="1162" xr:uid="{00000000-0005-0000-0000-000059030000}"/>
    <cellStyle name="40% - 강조색2 58" xfId="1182" xr:uid="{00000000-0005-0000-0000-00005A030000}"/>
    <cellStyle name="40% - 강조색2 59" xfId="1202" xr:uid="{00000000-0005-0000-0000-00005B030000}"/>
    <cellStyle name="40% - 강조색2 6" xfId="142" xr:uid="{00000000-0005-0000-0000-00005C030000}"/>
    <cellStyle name="40% - 강조색2 60" xfId="1222" xr:uid="{00000000-0005-0000-0000-00005D030000}"/>
    <cellStyle name="40% - 강조색2 61" xfId="1242" xr:uid="{00000000-0005-0000-0000-00005E030000}"/>
    <cellStyle name="40% - 강조색2 62" xfId="1262" xr:uid="{00000000-0005-0000-0000-00005F030000}"/>
    <cellStyle name="40% - 강조색2 63" xfId="1282" xr:uid="{00000000-0005-0000-0000-000060030000}"/>
    <cellStyle name="40% - 강조색2 64" xfId="1302" xr:uid="{00000000-0005-0000-0000-000061030000}"/>
    <cellStyle name="40% - 강조색2 65" xfId="1322" xr:uid="{00000000-0005-0000-0000-000062030000}"/>
    <cellStyle name="40% - 강조색2 66" xfId="1342" xr:uid="{00000000-0005-0000-0000-000063030000}"/>
    <cellStyle name="40% - 강조색2 67" xfId="1362" xr:uid="{00000000-0005-0000-0000-000064030000}"/>
    <cellStyle name="40% - 강조색2 68" xfId="1382" xr:uid="{00000000-0005-0000-0000-000065030000}"/>
    <cellStyle name="40% - 강조색2 69" xfId="1402" xr:uid="{00000000-0005-0000-0000-000066030000}"/>
    <cellStyle name="40% - 강조색2 7" xfId="162" xr:uid="{00000000-0005-0000-0000-000067030000}"/>
    <cellStyle name="40% - 강조색2 70" xfId="1422" xr:uid="{00000000-0005-0000-0000-000068030000}"/>
    <cellStyle name="40% - 강조색2 71" xfId="1442" xr:uid="{00000000-0005-0000-0000-000069030000}"/>
    <cellStyle name="40% - 강조색2 72" xfId="1462" xr:uid="{00000000-0005-0000-0000-00006A030000}"/>
    <cellStyle name="40% - 강조색2 73" xfId="1482" xr:uid="{00000000-0005-0000-0000-00006B030000}"/>
    <cellStyle name="40% - 강조색2 74" xfId="1502" xr:uid="{00000000-0005-0000-0000-00006C030000}"/>
    <cellStyle name="40% - 강조색2 75" xfId="1522" xr:uid="{00000000-0005-0000-0000-00006D030000}"/>
    <cellStyle name="40% - 강조색2 76" xfId="1542" xr:uid="{00000000-0005-0000-0000-00006E030000}"/>
    <cellStyle name="40% - 강조색2 77" xfId="1562" xr:uid="{00000000-0005-0000-0000-00006F030000}"/>
    <cellStyle name="40% - 강조색2 78" xfId="1582" xr:uid="{00000000-0005-0000-0000-000070030000}"/>
    <cellStyle name="40% - 강조색2 79" xfId="1602" xr:uid="{00000000-0005-0000-0000-000071030000}"/>
    <cellStyle name="40% - 강조색2 8" xfId="182" xr:uid="{00000000-0005-0000-0000-000072030000}"/>
    <cellStyle name="40% - 강조색2 80" xfId="1622" xr:uid="{00000000-0005-0000-0000-000073030000}"/>
    <cellStyle name="40% - 강조색2 81" xfId="1642" xr:uid="{00000000-0005-0000-0000-000074030000}"/>
    <cellStyle name="40% - 강조색2 82" xfId="1662" xr:uid="{00000000-0005-0000-0000-000075030000}"/>
    <cellStyle name="40% - 강조색2 83" xfId="1682" xr:uid="{00000000-0005-0000-0000-000076030000}"/>
    <cellStyle name="40% - 강조색2 84" xfId="1702" xr:uid="{00000000-0005-0000-0000-000077030000}"/>
    <cellStyle name="40% - 강조색2 85" xfId="1722" xr:uid="{00000000-0005-0000-0000-000078030000}"/>
    <cellStyle name="40% - 강조색2 86" xfId="1742" xr:uid="{00000000-0005-0000-0000-000079030000}"/>
    <cellStyle name="40% - 강조색2 87" xfId="1762" xr:uid="{00000000-0005-0000-0000-00007A030000}"/>
    <cellStyle name="40% - 강조색2 88" xfId="1782" xr:uid="{00000000-0005-0000-0000-00007B030000}"/>
    <cellStyle name="40% - 강조색2 89" xfId="1802" xr:uid="{00000000-0005-0000-0000-00007C030000}"/>
    <cellStyle name="40% - 강조색2 9" xfId="202" xr:uid="{00000000-0005-0000-0000-00007D030000}"/>
    <cellStyle name="40% - 강조색2 90" xfId="1822" xr:uid="{00000000-0005-0000-0000-00007E030000}"/>
    <cellStyle name="40% - 강조색2 91" xfId="1842" xr:uid="{00000000-0005-0000-0000-00007F030000}"/>
    <cellStyle name="40% - 강조색2 92" xfId="1862" xr:uid="{00000000-0005-0000-0000-000080030000}"/>
    <cellStyle name="40% - 강조색2 93" xfId="1882" xr:uid="{00000000-0005-0000-0000-000081030000}"/>
    <cellStyle name="40% - 강조색2 94" xfId="1902" xr:uid="{00000000-0005-0000-0000-000082030000}"/>
    <cellStyle name="40% - 강조색2 95" xfId="1922" xr:uid="{00000000-0005-0000-0000-000083030000}"/>
    <cellStyle name="40% - 강조색2 96" xfId="1942" xr:uid="{00000000-0005-0000-0000-000084030000}"/>
    <cellStyle name="40% - 강조색2 97" xfId="1962" xr:uid="{00000000-0005-0000-0000-000085030000}"/>
    <cellStyle name="40% - 강조색2 98" xfId="1982" xr:uid="{00000000-0005-0000-0000-000086030000}"/>
    <cellStyle name="40% - 강조색2 99" xfId="2002" xr:uid="{00000000-0005-0000-0000-000087030000}"/>
    <cellStyle name="40% - 강조색3" xfId="29" builtinId="39" customBuiltin="1"/>
    <cellStyle name="40% - 강조색3 10" xfId="225" xr:uid="{00000000-0005-0000-0000-000089030000}"/>
    <cellStyle name="40% - 강조색3 100" xfId="2025" xr:uid="{00000000-0005-0000-0000-00008A030000}"/>
    <cellStyle name="40% - 강조색3 101" xfId="2045" xr:uid="{00000000-0005-0000-0000-00008B030000}"/>
    <cellStyle name="40% - 강조색3 102" xfId="2065" xr:uid="{00000000-0005-0000-0000-00008C030000}"/>
    <cellStyle name="40% - 강조색3 103" xfId="2085" xr:uid="{00000000-0005-0000-0000-00008D030000}"/>
    <cellStyle name="40% - 강조색3 104" xfId="2105" xr:uid="{00000000-0005-0000-0000-00008E030000}"/>
    <cellStyle name="40% - 강조색3 105" xfId="2125" xr:uid="{00000000-0005-0000-0000-00008F030000}"/>
    <cellStyle name="40% - 강조색3 106" xfId="2145" xr:uid="{00000000-0005-0000-0000-000090030000}"/>
    <cellStyle name="40% - 강조색3 107" xfId="2165" xr:uid="{00000000-0005-0000-0000-000091030000}"/>
    <cellStyle name="40% - 강조색3 108" xfId="2185" xr:uid="{00000000-0005-0000-0000-000092030000}"/>
    <cellStyle name="40% - 강조색3 109" xfId="2205" xr:uid="{00000000-0005-0000-0000-000093030000}"/>
    <cellStyle name="40% - 강조색3 11" xfId="245" xr:uid="{00000000-0005-0000-0000-000094030000}"/>
    <cellStyle name="40% - 강조색3 110" xfId="2225" xr:uid="{00000000-0005-0000-0000-000095030000}"/>
    <cellStyle name="40% - 강조색3 111" xfId="2248" xr:uid="{00000000-0005-0000-0000-000096030000}"/>
    <cellStyle name="40% - 강조색3 112" xfId="2270" xr:uid="{00000000-0005-0000-0000-000097030000}"/>
    <cellStyle name="40% - 강조색3 113" xfId="2292" xr:uid="{00000000-0005-0000-0000-000098030000}"/>
    <cellStyle name="40% - 강조색3 114" xfId="2312" xr:uid="{A02ACA33-9E68-4D9C-8769-313A9B0D528C}"/>
    <cellStyle name="40% - 강조색3 115" xfId="2332" xr:uid="{B250A7BB-F21B-40C2-B617-3288E852D821}"/>
    <cellStyle name="40% - 강조색3 116" xfId="2352" xr:uid="{CF3FC401-FD32-40DF-9679-1034AC35EF3A}"/>
    <cellStyle name="40% - 강조색3 117" xfId="2372" xr:uid="{08D038F4-F66C-4921-8304-A73613BEAE16}"/>
    <cellStyle name="40% - 강조색3 118" xfId="2392" xr:uid="{AF92DF20-A49A-4EDD-862F-504222138A56}"/>
    <cellStyle name="40% - 강조색3 119" xfId="2412" xr:uid="{8AC27BF5-7805-4EB0-B667-10C6F2484387}"/>
    <cellStyle name="40% - 강조색3 12" xfId="265" xr:uid="{00000000-0005-0000-0000-000099030000}"/>
    <cellStyle name="40% - 강조색3 120" xfId="2432" xr:uid="{4B6AF606-DD00-4A9D-9D82-8F6735667902}"/>
    <cellStyle name="40% - 강조색3 121" xfId="2452" xr:uid="{1B7371FE-003B-4A69-91F5-CFEEB0DC5686}"/>
    <cellStyle name="40% - 강조색3 122" xfId="2472" xr:uid="{6F398F70-E7EA-43F7-A2E7-439D59A4501D}"/>
    <cellStyle name="40% - 강조색3 123" xfId="2492" xr:uid="{CD1C3955-65F6-4B0E-A792-DE11BAF783B6}"/>
    <cellStyle name="40% - 강조색3 124" xfId="2512" xr:uid="{F2738E46-73E4-4267-AF96-D062C78D78CC}"/>
    <cellStyle name="40% - 강조색3 125" xfId="2532" xr:uid="{E23D30DB-296E-4008-B32A-BA6A47D5B82E}"/>
    <cellStyle name="40% - 강조색3 126" xfId="2552" xr:uid="{85F6B9C9-1610-4A90-9868-134B53D776CA}"/>
    <cellStyle name="40% - 강조색3 127" xfId="2572" xr:uid="{B9A0F019-9AAA-461F-988A-4656D9939002}"/>
    <cellStyle name="40% - 강조색3 128" xfId="2592" xr:uid="{C9A198C9-6C79-442A-8DFD-F328235C5CC0}"/>
    <cellStyle name="40% - 강조색3 129" xfId="2612" xr:uid="{9573AB4B-D922-46A5-B6EC-29DBC5082D67}"/>
    <cellStyle name="40% - 강조색3 13" xfId="285" xr:uid="{00000000-0005-0000-0000-00009A030000}"/>
    <cellStyle name="40% - 강조색3 130" xfId="2632" xr:uid="{C8A1F636-1331-47A1-AD1A-6AF551837168}"/>
    <cellStyle name="40% - 강조색3 131" xfId="2652" xr:uid="{D538B425-E5C9-40D4-AD56-96956EB35853}"/>
    <cellStyle name="40% - 강조색3 132" xfId="2672" xr:uid="{4CDFB26A-357B-4AEA-9284-95C42CBCC20C}"/>
    <cellStyle name="40% - 강조색3 133" xfId="2692" xr:uid="{5EB5ADD2-F65A-47D4-A456-9F0BE53A16BF}"/>
    <cellStyle name="40% - 강조색3 134" xfId="2712" xr:uid="{57DF2B8B-F751-467F-8D1E-9391F929E1E0}"/>
    <cellStyle name="40% - 강조색3 14" xfId="305" xr:uid="{00000000-0005-0000-0000-00009B030000}"/>
    <cellStyle name="40% - 강조색3 15" xfId="325" xr:uid="{00000000-0005-0000-0000-00009C030000}"/>
    <cellStyle name="40% - 강조색3 16" xfId="345" xr:uid="{00000000-0005-0000-0000-00009D030000}"/>
    <cellStyle name="40% - 강조색3 17" xfId="365" xr:uid="{00000000-0005-0000-0000-00009E030000}"/>
    <cellStyle name="40% - 강조색3 18" xfId="385" xr:uid="{00000000-0005-0000-0000-00009F030000}"/>
    <cellStyle name="40% - 강조색3 19" xfId="405" xr:uid="{00000000-0005-0000-0000-0000A0030000}"/>
    <cellStyle name="40% - 강조색3 2" xfId="52" xr:uid="{00000000-0005-0000-0000-0000A1030000}"/>
    <cellStyle name="40% - 강조색3 20" xfId="425" xr:uid="{00000000-0005-0000-0000-0000A2030000}"/>
    <cellStyle name="40% - 강조색3 21" xfId="445" xr:uid="{00000000-0005-0000-0000-0000A3030000}"/>
    <cellStyle name="40% - 강조색3 22" xfId="465" xr:uid="{00000000-0005-0000-0000-0000A4030000}"/>
    <cellStyle name="40% - 강조색3 23" xfId="485" xr:uid="{00000000-0005-0000-0000-0000A5030000}"/>
    <cellStyle name="40% - 강조색3 24" xfId="505" xr:uid="{00000000-0005-0000-0000-0000A6030000}"/>
    <cellStyle name="40% - 강조색3 25" xfId="525" xr:uid="{00000000-0005-0000-0000-0000A7030000}"/>
    <cellStyle name="40% - 강조색3 26" xfId="545" xr:uid="{00000000-0005-0000-0000-0000A8030000}"/>
    <cellStyle name="40% - 강조색3 27" xfId="565" xr:uid="{00000000-0005-0000-0000-0000A9030000}"/>
    <cellStyle name="40% - 강조색3 28" xfId="585" xr:uid="{00000000-0005-0000-0000-0000AA030000}"/>
    <cellStyle name="40% - 강조색3 29" xfId="605" xr:uid="{00000000-0005-0000-0000-0000AB030000}"/>
    <cellStyle name="40% - 강조색3 3" xfId="82" xr:uid="{00000000-0005-0000-0000-0000AC030000}"/>
    <cellStyle name="40% - 강조색3 30" xfId="625" xr:uid="{00000000-0005-0000-0000-0000AD030000}"/>
    <cellStyle name="40% - 강조색3 31" xfId="645" xr:uid="{00000000-0005-0000-0000-0000AE030000}"/>
    <cellStyle name="40% - 강조색3 32" xfId="665" xr:uid="{00000000-0005-0000-0000-0000AF030000}"/>
    <cellStyle name="40% - 강조색3 33" xfId="685" xr:uid="{00000000-0005-0000-0000-0000B0030000}"/>
    <cellStyle name="40% - 강조색3 34" xfId="705" xr:uid="{00000000-0005-0000-0000-0000B1030000}"/>
    <cellStyle name="40% - 강조색3 35" xfId="725" xr:uid="{00000000-0005-0000-0000-0000B2030000}"/>
    <cellStyle name="40% - 강조색3 36" xfId="745" xr:uid="{00000000-0005-0000-0000-0000B3030000}"/>
    <cellStyle name="40% - 강조색3 37" xfId="765" xr:uid="{00000000-0005-0000-0000-0000B4030000}"/>
    <cellStyle name="40% - 강조색3 38" xfId="785" xr:uid="{00000000-0005-0000-0000-0000B5030000}"/>
    <cellStyle name="40% - 강조색3 39" xfId="805" xr:uid="{00000000-0005-0000-0000-0000B6030000}"/>
    <cellStyle name="40% - 강조색3 4" xfId="105" xr:uid="{00000000-0005-0000-0000-0000B7030000}"/>
    <cellStyle name="40% - 강조색3 40" xfId="825" xr:uid="{00000000-0005-0000-0000-0000B8030000}"/>
    <cellStyle name="40% - 강조색3 41" xfId="845" xr:uid="{00000000-0005-0000-0000-0000B9030000}"/>
    <cellStyle name="40% - 강조색3 42" xfId="865" xr:uid="{00000000-0005-0000-0000-0000BA030000}"/>
    <cellStyle name="40% - 강조색3 43" xfId="885" xr:uid="{00000000-0005-0000-0000-0000BB030000}"/>
    <cellStyle name="40% - 강조색3 44" xfId="905" xr:uid="{00000000-0005-0000-0000-0000BC030000}"/>
    <cellStyle name="40% - 강조색3 45" xfId="925" xr:uid="{00000000-0005-0000-0000-0000BD030000}"/>
    <cellStyle name="40% - 강조색3 46" xfId="945" xr:uid="{00000000-0005-0000-0000-0000BE030000}"/>
    <cellStyle name="40% - 강조색3 47" xfId="965" xr:uid="{00000000-0005-0000-0000-0000BF030000}"/>
    <cellStyle name="40% - 강조색3 48" xfId="985" xr:uid="{00000000-0005-0000-0000-0000C0030000}"/>
    <cellStyle name="40% - 강조색3 49" xfId="1005" xr:uid="{00000000-0005-0000-0000-0000C1030000}"/>
    <cellStyle name="40% - 강조색3 5" xfId="125" xr:uid="{00000000-0005-0000-0000-0000C2030000}"/>
    <cellStyle name="40% - 강조색3 50" xfId="1025" xr:uid="{00000000-0005-0000-0000-0000C3030000}"/>
    <cellStyle name="40% - 강조색3 51" xfId="1045" xr:uid="{00000000-0005-0000-0000-0000C4030000}"/>
    <cellStyle name="40% - 강조색3 52" xfId="1065" xr:uid="{00000000-0005-0000-0000-0000C5030000}"/>
    <cellStyle name="40% - 강조색3 53" xfId="1085" xr:uid="{00000000-0005-0000-0000-0000C6030000}"/>
    <cellStyle name="40% - 강조색3 54" xfId="1105" xr:uid="{00000000-0005-0000-0000-0000C7030000}"/>
    <cellStyle name="40% - 강조색3 55" xfId="1125" xr:uid="{00000000-0005-0000-0000-0000C8030000}"/>
    <cellStyle name="40% - 강조색3 56" xfId="1145" xr:uid="{00000000-0005-0000-0000-0000C9030000}"/>
    <cellStyle name="40% - 강조색3 57" xfId="1165" xr:uid="{00000000-0005-0000-0000-0000CA030000}"/>
    <cellStyle name="40% - 강조색3 58" xfId="1185" xr:uid="{00000000-0005-0000-0000-0000CB030000}"/>
    <cellStyle name="40% - 강조색3 59" xfId="1205" xr:uid="{00000000-0005-0000-0000-0000CC030000}"/>
    <cellStyle name="40% - 강조색3 6" xfId="145" xr:uid="{00000000-0005-0000-0000-0000CD030000}"/>
    <cellStyle name="40% - 강조색3 60" xfId="1225" xr:uid="{00000000-0005-0000-0000-0000CE030000}"/>
    <cellStyle name="40% - 강조색3 61" xfId="1245" xr:uid="{00000000-0005-0000-0000-0000CF030000}"/>
    <cellStyle name="40% - 강조색3 62" xfId="1265" xr:uid="{00000000-0005-0000-0000-0000D0030000}"/>
    <cellStyle name="40% - 강조색3 63" xfId="1285" xr:uid="{00000000-0005-0000-0000-0000D1030000}"/>
    <cellStyle name="40% - 강조색3 64" xfId="1305" xr:uid="{00000000-0005-0000-0000-0000D2030000}"/>
    <cellStyle name="40% - 강조색3 65" xfId="1325" xr:uid="{00000000-0005-0000-0000-0000D3030000}"/>
    <cellStyle name="40% - 강조색3 66" xfId="1345" xr:uid="{00000000-0005-0000-0000-0000D4030000}"/>
    <cellStyle name="40% - 강조색3 67" xfId="1365" xr:uid="{00000000-0005-0000-0000-0000D5030000}"/>
    <cellStyle name="40% - 강조색3 68" xfId="1385" xr:uid="{00000000-0005-0000-0000-0000D6030000}"/>
    <cellStyle name="40% - 강조색3 69" xfId="1405" xr:uid="{00000000-0005-0000-0000-0000D7030000}"/>
    <cellStyle name="40% - 강조색3 7" xfId="165" xr:uid="{00000000-0005-0000-0000-0000D8030000}"/>
    <cellStyle name="40% - 강조색3 70" xfId="1425" xr:uid="{00000000-0005-0000-0000-0000D9030000}"/>
    <cellStyle name="40% - 강조색3 71" xfId="1445" xr:uid="{00000000-0005-0000-0000-0000DA030000}"/>
    <cellStyle name="40% - 강조색3 72" xfId="1465" xr:uid="{00000000-0005-0000-0000-0000DB030000}"/>
    <cellStyle name="40% - 강조색3 73" xfId="1485" xr:uid="{00000000-0005-0000-0000-0000DC030000}"/>
    <cellStyle name="40% - 강조색3 74" xfId="1505" xr:uid="{00000000-0005-0000-0000-0000DD030000}"/>
    <cellStyle name="40% - 강조색3 75" xfId="1525" xr:uid="{00000000-0005-0000-0000-0000DE030000}"/>
    <cellStyle name="40% - 강조색3 76" xfId="1545" xr:uid="{00000000-0005-0000-0000-0000DF030000}"/>
    <cellStyle name="40% - 강조색3 77" xfId="1565" xr:uid="{00000000-0005-0000-0000-0000E0030000}"/>
    <cellStyle name="40% - 강조색3 78" xfId="1585" xr:uid="{00000000-0005-0000-0000-0000E1030000}"/>
    <cellStyle name="40% - 강조색3 79" xfId="1605" xr:uid="{00000000-0005-0000-0000-0000E2030000}"/>
    <cellStyle name="40% - 강조색3 8" xfId="185" xr:uid="{00000000-0005-0000-0000-0000E3030000}"/>
    <cellStyle name="40% - 강조색3 80" xfId="1625" xr:uid="{00000000-0005-0000-0000-0000E4030000}"/>
    <cellStyle name="40% - 강조색3 81" xfId="1645" xr:uid="{00000000-0005-0000-0000-0000E5030000}"/>
    <cellStyle name="40% - 강조색3 82" xfId="1665" xr:uid="{00000000-0005-0000-0000-0000E6030000}"/>
    <cellStyle name="40% - 강조색3 83" xfId="1685" xr:uid="{00000000-0005-0000-0000-0000E7030000}"/>
    <cellStyle name="40% - 강조색3 84" xfId="1705" xr:uid="{00000000-0005-0000-0000-0000E8030000}"/>
    <cellStyle name="40% - 강조색3 85" xfId="1725" xr:uid="{00000000-0005-0000-0000-0000E9030000}"/>
    <cellStyle name="40% - 강조색3 86" xfId="1745" xr:uid="{00000000-0005-0000-0000-0000EA030000}"/>
    <cellStyle name="40% - 강조색3 87" xfId="1765" xr:uid="{00000000-0005-0000-0000-0000EB030000}"/>
    <cellStyle name="40% - 강조색3 88" xfId="1785" xr:uid="{00000000-0005-0000-0000-0000EC030000}"/>
    <cellStyle name="40% - 강조색3 89" xfId="1805" xr:uid="{00000000-0005-0000-0000-0000ED030000}"/>
    <cellStyle name="40% - 강조색3 9" xfId="205" xr:uid="{00000000-0005-0000-0000-0000EE030000}"/>
    <cellStyle name="40% - 강조색3 90" xfId="1825" xr:uid="{00000000-0005-0000-0000-0000EF030000}"/>
    <cellStyle name="40% - 강조색3 91" xfId="1845" xr:uid="{00000000-0005-0000-0000-0000F0030000}"/>
    <cellStyle name="40% - 강조색3 92" xfId="1865" xr:uid="{00000000-0005-0000-0000-0000F1030000}"/>
    <cellStyle name="40% - 강조색3 93" xfId="1885" xr:uid="{00000000-0005-0000-0000-0000F2030000}"/>
    <cellStyle name="40% - 강조색3 94" xfId="1905" xr:uid="{00000000-0005-0000-0000-0000F3030000}"/>
    <cellStyle name="40% - 강조색3 95" xfId="1925" xr:uid="{00000000-0005-0000-0000-0000F4030000}"/>
    <cellStyle name="40% - 강조색3 96" xfId="1945" xr:uid="{00000000-0005-0000-0000-0000F5030000}"/>
    <cellStyle name="40% - 강조색3 97" xfId="1965" xr:uid="{00000000-0005-0000-0000-0000F6030000}"/>
    <cellStyle name="40% - 강조색3 98" xfId="1985" xr:uid="{00000000-0005-0000-0000-0000F7030000}"/>
    <cellStyle name="40% - 강조색3 99" xfId="2005" xr:uid="{00000000-0005-0000-0000-0000F8030000}"/>
    <cellStyle name="40% - 강조색4" xfId="33" builtinId="43" customBuiltin="1"/>
    <cellStyle name="40% - 강조색4 10" xfId="228" xr:uid="{00000000-0005-0000-0000-0000FA030000}"/>
    <cellStyle name="40% - 강조색4 100" xfId="2028" xr:uid="{00000000-0005-0000-0000-0000FB030000}"/>
    <cellStyle name="40% - 강조색4 101" xfId="2048" xr:uid="{00000000-0005-0000-0000-0000FC030000}"/>
    <cellStyle name="40% - 강조색4 102" xfId="2068" xr:uid="{00000000-0005-0000-0000-0000FD030000}"/>
    <cellStyle name="40% - 강조색4 103" xfId="2088" xr:uid="{00000000-0005-0000-0000-0000FE030000}"/>
    <cellStyle name="40% - 강조색4 104" xfId="2108" xr:uid="{00000000-0005-0000-0000-0000FF030000}"/>
    <cellStyle name="40% - 강조색4 105" xfId="2128" xr:uid="{00000000-0005-0000-0000-000000040000}"/>
    <cellStyle name="40% - 강조색4 106" xfId="2148" xr:uid="{00000000-0005-0000-0000-000001040000}"/>
    <cellStyle name="40% - 강조색4 107" xfId="2168" xr:uid="{00000000-0005-0000-0000-000002040000}"/>
    <cellStyle name="40% - 강조색4 108" xfId="2188" xr:uid="{00000000-0005-0000-0000-000003040000}"/>
    <cellStyle name="40% - 강조색4 109" xfId="2208" xr:uid="{00000000-0005-0000-0000-000004040000}"/>
    <cellStyle name="40% - 강조색4 11" xfId="248" xr:uid="{00000000-0005-0000-0000-000005040000}"/>
    <cellStyle name="40% - 강조색4 110" xfId="2228" xr:uid="{00000000-0005-0000-0000-000006040000}"/>
    <cellStyle name="40% - 강조색4 111" xfId="2251" xr:uid="{00000000-0005-0000-0000-000007040000}"/>
    <cellStyle name="40% - 강조색4 112" xfId="2273" xr:uid="{00000000-0005-0000-0000-000008040000}"/>
    <cellStyle name="40% - 강조색4 113" xfId="2295" xr:uid="{00000000-0005-0000-0000-000009040000}"/>
    <cellStyle name="40% - 강조색4 114" xfId="2315" xr:uid="{0C44112F-EBDF-48B3-A723-7AE0DC87A5A2}"/>
    <cellStyle name="40% - 강조색4 115" xfId="2335" xr:uid="{D078B342-C95B-4488-A5E2-ACDC0E3D3590}"/>
    <cellStyle name="40% - 강조색4 116" xfId="2355" xr:uid="{12FE6A54-CC45-4502-8922-99F5025CFE97}"/>
    <cellStyle name="40% - 강조색4 117" xfId="2375" xr:uid="{91CD41A8-B98C-4DDB-BD40-8418ADCA9A31}"/>
    <cellStyle name="40% - 강조색4 118" xfId="2395" xr:uid="{F0D6B516-3DD4-471C-8322-27EA89A6CECB}"/>
    <cellStyle name="40% - 강조색4 119" xfId="2415" xr:uid="{CC12D7CF-A393-49B7-A5ED-D684F2F55147}"/>
    <cellStyle name="40% - 강조색4 12" xfId="268" xr:uid="{00000000-0005-0000-0000-00000A040000}"/>
    <cellStyle name="40% - 강조색4 120" xfId="2435" xr:uid="{5B26326E-D875-4393-BC95-F1DDB37A66A1}"/>
    <cellStyle name="40% - 강조색4 121" xfId="2455" xr:uid="{EECB0D14-3200-446C-A5F6-29DDC02809BB}"/>
    <cellStyle name="40% - 강조색4 122" xfId="2475" xr:uid="{44881050-6CC0-4B71-A0DB-BF50090023FE}"/>
    <cellStyle name="40% - 강조색4 123" xfId="2495" xr:uid="{5D3BD9DC-FDC0-4C08-BFBD-FA888C03C955}"/>
    <cellStyle name="40% - 강조색4 124" xfId="2515" xr:uid="{CE17CD74-10FA-4290-8F3B-51A4B5371394}"/>
    <cellStyle name="40% - 강조색4 125" xfId="2535" xr:uid="{BE7E122A-0A7D-4E4D-AACB-8B205E883231}"/>
    <cellStyle name="40% - 강조색4 126" xfId="2555" xr:uid="{59F1E9F9-3528-4D01-9302-212F6999501D}"/>
    <cellStyle name="40% - 강조색4 127" xfId="2575" xr:uid="{F16ACD2A-B53F-4818-A4CD-33282ED4DADF}"/>
    <cellStyle name="40% - 강조색4 128" xfId="2595" xr:uid="{A8077FB3-DCFE-412E-B44E-937A94FF4003}"/>
    <cellStyle name="40% - 강조색4 129" xfId="2615" xr:uid="{7E6082BB-5637-46BB-B34E-A0A15D4AD202}"/>
    <cellStyle name="40% - 강조색4 13" xfId="288" xr:uid="{00000000-0005-0000-0000-00000B040000}"/>
    <cellStyle name="40% - 강조색4 130" xfId="2635" xr:uid="{7A111265-890C-4D8E-940D-458504E1A1E5}"/>
    <cellStyle name="40% - 강조색4 131" xfId="2655" xr:uid="{818ABA2E-FF3D-48AC-BD69-6F225EC703AC}"/>
    <cellStyle name="40% - 강조색4 132" xfId="2675" xr:uid="{2A03F355-3C1D-4C0C-A780-5D20DD061486}"/>
    <cellStyle name="40% - 강조색4 133" xfId="2695" xr:uid="{7BBFAC3E-AA34-4CAD-88C7-52C18E86887A}"/>
    <cellStyle name="40% - 강조색4 134" xfId="2715" xr:uid="{B1164542-F632-4AF7-8D5E-51C846C893AD}"/>
    <cellStyle name="40% - 강조색4 14" xfId="308" xr:uid="{00000000-0005-0000-0000-00000C040000}"/>
    <cellStyle name="40% - 강조색4 15" xfId="328" xr:uid="{00000000-0005-0000-0000-00000D040000}"/>
    <cellStyle name="40% - 강조색4 16" xfId="348" xr:uid="{00000000-0005-0000-0000-00000E040000}"/>
    <cellStyle name="40% - 강조색4 17" xfId="368" xr:uid="{00000000-0005-0000-0000-00000F040000}"/>
    <cellStyle name="40% - 강조색4 18" xfId="388" xr:uid="{00000000-0005-0000-0000-000010040000}"/>
    <cellStyle name="40% - 강조색4 19" xfId="408" xr:uid="{00000000-0005-0000-0000-000011040000}"/>
    <cellStyle name="40% - 강조색4 2" xfId="54" xr:uid="{00000000-0005-0000-0000-000012040000}"/>
    <cellStyle name="40% - 강조색4 20" xfId="428" xr:uid="{00000000-0005-0000-0000-000013040000}"/>
    <cellStyle name="40% - 강조색4 21" xfId="448" xr:uid="{00000000-0005-0000-0000-000014040000}"/>
    <cellStyle name="40% - 강조색4 22" xfId="468" xr:uid="{00000000-0005-0000-0000-000015040000}"/>
    <cellStyle name="40% - 강조색4 23" xfId="488" xr:uid="{00000000-0005-0000-0000-000016040000}"/>
    <cellStyle name="40% - 강조색4 24" xfId="508" xr:uid="{00000000-0005-0000-0000-000017040000}"/>
    <cellStyle name="40% - 강조색4 25" xfId="528" xr:uid="{00000000-0005-0000-0000-000018040000}"/>
    <cellStyle name="40% - 강조색4 26" xfId="548" xr:uid="{00000000-0005-0000-0000-000019040000}"/>
    <cellStyle name="40% - 강조색4 27" xfId="568" xr:uid="{00000000-0005-0000-0000-00001A040000}"/>
    <cellStyle name="40% - 강조색4 28" xfId="588" xr:uid="{00000000-0005-0000-0000-00001B040000}"/>
    <cellStyle name="40% - 강조색4 29" xfId="608" xr:uid="{00000000-0005-0000-0000-00001C040000}"/>
    <cellStyle name="40% - 강조색4 3" xfId="86" xr:uid="{00000000-0005-0000-0000-00001D040000}"/>
    <cellStyle name="40% - 강조색4 30" xfId="628" xr:uid="{00000000-0005-0000-0000-00001E040000}"/>
    <cellStyle name="40% - 강조색4 31" xfId="648" xr:uid="{00000000-0005-0000-0000-00001F040000}"/>
    <cellStyle name="40% - 강조색4 32" xfId="668" xr:uid="{00000000-0005-0000-0000-000020040000}"/>
    <cellStyle name="40% - 강조색4 33" xfId="688" xr:uid="{00000000-0005-0000-0000-000021040000}"/>
    <cellStyle name="40% - 강조색4 34" xfId="708" xr:uid="{00000000-0005-0000-0000-000022040000}"/>
    <cellStyle name="40% - 강조색4 35" xfId="728" xr:uid="{00000000-0005-0000-0000-000023040000}"/>
    <cellStyle name="40% - 강조색4 36" xfId="748" xr:uid="{00000000-0005-0000-0000-000024040000}"/>
    <cellStyle name="40% - 강조색4 37" xfId="768" xr:uid="{00000000-0005-0000-0000-000025040000}"/>
    <cellStyle name="40% - 강조색4 38" xfId="788" xr:uid="{00000000-0005-0000-0000-000026040000}"/>
    <cellStyle name="40% - 강조색4 39" xfId="808" xr:uid="{00000000-0005-0000-0000-000027040000}"/>
    <cellStyle name="40% - 강조색4 4" xfId="108" xr:uid="{00000000-0005-0000-0000-000028040000}"/>
    <cellStyle name="40% - 강조색4 40" xfId="828" xr:uid="{00000000-0005-0000-0000-000029040000}"/>
    <cellStyle name="40% - 강조색4 41" xfId="848" xr:uid="{00000000-0005-0000-0000-00002A040000}"/>
    <cellStyle name="40% - 강조색4 42" xfId="868" xr:uid="{00000000-0005-0000-0000-00002B040000}"/>
    <cellStyle name="40% - 강조색4 43" xfId="888" xr:uid="{00000000-0005-0000-0000-00002C040000}"/>
    <cellStyle name="40% - 강조색4 44" xfId="908" xr:uid="{00000000-0005-0000-0000-00002D040000}"/>
    <cellStyle name="40% - 강조색4 45" xfId="928" xr:uid="{00000000-0005-0000-0000-00002E040000}"/>
    <cellStyle name="40% - 강조색4 46" xfId="948" xr:uid="{00000000-0005-0000-0000-00002F040000}"/>
    <cellStyle name="40% - 강조색4 47" xfId="968" xr:uid="{00000000-0005-0000-0000-000030040000}"/>
    <cellStyle name="40% - 강조색4 48" xfId="988" xr:uid="{00000000-0005-0000-0000-000031040000}"/>
    <cellStyle name="40% - 강조색4 49" xfId="1008" xr:uid="{00000000-0005-0000-0000-000032040000}"/>
    <cellStyle name="40% - 강조색4 5" xfId="128" xr:uid="{00000000-0005-0000-0000-000033040000}"/>
    <cellStyle name="40% - 강조색4 50" xfId="1028" xr:uid="{00000000-0005-0000-0000-000034040000}"/>
    <cellStyle name="40% - 강조색4 51" xfId="1048" xr:uid="{00000000-0005-0000-0000-000035040000}"/>
    <cellStyle name="40% - 강조색4 52" xfId="1068" xr:uid="{00000000-0005-0000-0000-000036040000}"/>
    <cellStyle name="40% - 강조색4 53" xfId="1088" xr:uid="{00000000-0005-0000-0000-000037040000}"/>
    <cellStyle name="40% - 강조색4 54" xfId="1108" xr:uid="{00000000-0005-0000-0000-000038040000}"/>
    <cellStyle name="40% - 강조색4 55" xfId="1128" xr:uid="{00000000-0005-0000-0000-000039040000}"/>
    <cellStyle name="40% - 강조색4 56" xfId="1148" xr:uid="{00000000-0005-0000-0000-00003A040000}"/>
    <cellStyle name="40% - 강조색4 57" xfId="1168" xr:uid="{00000000-0005-0000-0000-00003B040000}"/>
    <cellStyle name="40% - 강조색4 58" xfId="1188" xr:uid="{00000000-0005-0000-0000-00003C040000}"/>
    <cellStyle name="40% - 강조색4 59" xfId="1208" xr:uid="{00000000-0005-0000-0000-00003D040000}"/>
    <cellStyle name="40% - 강조색4 6" xfId="148" xr:uid="{00000000-0005-0000-0000-00003E040000}"/>
    <cellStyle name="40% - 강조색4 60" xfId="1228" xr:uid="{00000000-0005-0000-0000-00003F040000}"/>
    <cellStyle name="40% - 강조색4 61" xfId="1248" xr:uid="{00000000-0005-0000-0000-000040040000}"/>
    <cellStyle name="40% - 강조색4 62" xfId="1268" xr:uid="{00000000-0005-0000-0000-000041040000}"/>
    <cellStyle name="40% - 강조색4 63" xfId="1288" xr:uid="{00000000-0005-0000-0000-000042040000}"/>
    <cellStyle name="40% - 강조색4 64" xfId="1308" xr:uid="{00000000-0005-0000-0000-000043040000}"/>
    <cellStyle name="40% - 강조색4 65" xfId="1328" xr:uid="{00000000-0005-0000-0000-000044040000}"/>
    <cellStyle name="40% - 강조색4 66" xfId="1348" xr:uid="{00000000-0005-0000-0000-000045040000}"/>
    <cellStyle name="40% - 강조색4 67" xfId="1368" xr:uid="{00000000-0005-0000-0000-000046040000}"/>
    <cellStyle name="40% - 강조색4 68" xfId="1388" xr:uid="{00000000-0005-0000-0000-000047040000}"/>
    <cellStyle name="40% - 강조색4 69" xfId="1408" xr:uid="{00000000-0005-0000-0000-000048040000}"/>
    <cellStyle name="40% - 강조색4 7" xfId="168" xr:uid="{00000000-0005-0000-0000-000049040000}"/>
    <cellStyle name="40% - 강조색4 70" xfId="1428" xr:uid="{00000000-0005-0000-0000-00004A040000}"/>
    <cellStyle name="40% - 강조색4 71" xfId="1448" xr:uid="{00000000-0005-0000-0000-00004B040000}"/>
    <cellStyle name="40% - 강조색4 72" xfId="1468" xr:uid="{00000000-0005-0000-0000-00004C040000}"/>
    <cellStyle name="40% - 강조색4 73" xfId="1488" xr:uid="{00000000-0005-0000-0000-00004D040000}"/>
    <cellStyle name="40% - 강조색4 74" xfId="1508" xr:uid="{00000000-0005-0000-0000-00004E040000}"/>
    <cellStyle name="40% - 강조색4 75" xfId="1528" xr:uid="{00000000-0005-0000-0000-00004F040000}"/>
    <cellStyle name="40% - 강조색4 76" xfId="1548" xr:uid="{00000000-0005-0000-0000-000050040000}"/>
    <cellStyle name="40% - 강조색4 77" xfId="1568" xr:uid="{00000000-0005-0000-0000-000051040000}"/>
    <cellStyle name="40% - 강조색4 78" xfId="1588" xr:uid="{00000000-0005-0000-0000-000052040000}"/>
    <cellStyle name="40% - 강조색4 79" xfId="1608" xr:uid="{00000000-0005-0000-0000-000053040000}"/>
    <cellStyle name="40% - 강조색4 8" xfId="188" xr:uid="{00000000-0005-0000-0000-000054040000}"/>
    <cellStyle name="40% - 강조색4 80" xfId="1628" xr:uid="{00000000-0005-0000-0000-000055040000}"/>
    <cellStyle name="40% - 강조색4 81" xfId="1648" xr:uid="{00000000-0005-0000-0000-000056040000}"/>
    <cellStyle name="40% - 강조색4 82" xfId="1668" xr:uid="{00000000-0005-0000-0000-000057040000}"/>
    <cellStyle name="40% - 강조색4 83" xfId="1688" xr:uid="{00000000-0005-0000-0000-000058040000}"/>
    <cellStyle name="40% - 강조색4 84" xfId="1708" xr:uid="{00000000-0005-0000-0000-000059040000}"/>
    <cellStyle name="40% - 강조색4 85" xfId="1728" xr:uid="{00000000-0005-0000-0000-00005A040000}"/>
    <cellStyle name="40% - 강조색4 86" xfId="1748" xr:uid="{00000000-0005-0000-0000-00005B040000}"/>
    <cellStyle name="40% - 강조색4 87" xfId="1768" xr:uid="{00000000-0005-0000-0000-00005C040000}"/>
    <cellStyle name="40% - 강조색4 88" xfId="1788" xr:uid="{00000000-0005-0000-0000-00005D040000}"/>
    <cellStyle name="40% - 강조색4 89" xfId="1808" xr:uid="{00000000-0005-0000-0000-00005E040000}"/>
    <cellStyle name="40% - 강조색4 9" xfId="208" xr:uid="{00000000-0005-0000-0000-00005F040000}"/>
    <cellStyle name="40% - 강조색4 90" xfId="1828" xr:uid="{00000000-0005-0000-0000-000060040000}"/>
    <cellStyle name="40% - 강조색4 91" xfId="1848" xr:uid="{00000000-0005-0000-0000-000061040000}"/>
    <cellStyle name="40% - 강조색4 92" xfId="1868" xr:uid="{00000000-0005-0000-0000-000062040000}"/>
    <cellStyle name="40% - 강조색4 93" xfId="1888" xr:uid="{00000000-0005-0000-0000-000063040000}"/>
    <cellStyle name="40% - 강조색4 94" xfId="1908" xr:uid="{00000000-0005-0000-0000-000064040000}"/>
    <cellStyle name="40% - 강조색4 95" xfId="1928" xr:uid="{00000000-0005-0000-0000-000065040000}"/>
    <cellStyle name="40% - 강조색4 96" xfId="1948" xr:uid="{00000000-0005-0000-0000-000066040000}"/>
    <cellStyle name="40% - 강조색4 97" xfId="1968" xr:uid="{00000000-0005-0000-0000-000067040000}"/>
    <cellStyle name="40% - 강조색4 98" xfId="1988" xr:uid="{00000000-0005-0000-0000-000068040000}"/>
    <cellStyle name="40% - 강조색4 99" xfId="2008" xr:uid="{00000000-0005-0000-0000-000069040000}"/>
    <cellStyle name="40% - 강조색5" xfId="37" builtinId="47" customBuiltin="1"/>
    <cellStyle name="40% - 강조색5 10" xfId="231" xr:uid="{00000000-0005-0000-0000-00006B040000}"/>
    <cellStyle name="40% - 강조색5 100" xfId="2031" xr:uid="{00000000-0005-0000-0000-00006C040000}"/>
    <cellStyle name="40% - 강조색5 101" xfId="2051" xr:uid="{00000000-0005-0000-0000-00006D040000}"/>
    <cellStyle name="40% - 강조색5 102" xfId="2071" xr:uid="{00000000-0005-0000-0000-00006E040000}"/>
    <cellStyle name="40% - 강조색5 103" xfId="2091" xr:uid="{00000000-0005-0000-0000-00006F040000}"/>
    <cellStyle name="40% - 강조색5 104" xfId="2111" xr:uid="{00000000-0005-0000-0000-000070040000}"/>
    <cellStyle name="40% - 강조색5 105" xfId="2131" xr:uid="{00000000-0005-0000-0000-000071040000}"/>
    <cellStyle name="40% - 강조색5 106" xfId="2151" xr:uid="{00000000-0005-0000-0000-000072040000}"/>
    <cellStyle name="40% - 강조색5 107" xfId="2171" xr:uid="{00000000-0005-0000-0000-000073040000}"/>
    <cellStyle name="40% - 강조색5 108" xfId="2191" xr:uid="{00000000-0005-0000-0000-000074040000}"/>
    <cellStyle name="40% - 강조색5 109" xfId="2211" xr:uid="{00000000-0005-0000-0000-000075040000}"/>
    <cellStyle name="40% - 강조색5 11" xfId="251" xr:uid="{00000000-0005-0000-0000-000076040000}"/>
    <cellStyle name="40% - 강조색5 110" xfId="2231" xr:uid="{00000000-0005-0000-0000-000077040000}"/>
    <cellStyle name="40% - 강조색5 111" xfId="2254" xr:uid="{00000000-0005-0000-0000-000078040000}"/>
    <cellStyle name="40% - 강조색5 112" xfId="2276" xr:uid="{00000000-0005-0000-0000-000079040000}"/>
    <cellStyle name="40% - 강조색5 113" xfId="2298" xr:uid="{00000000-0005-0000-0000-00007A040000}"/>
    <cellStyle name="40% - 강조색5 114" xfId="2318" xr:uid="{11A2123C-EC3F-40F1-9AD5-66ABB9FAD676}"/>
    <cellStyle name="40% - 강조색5 115" xfId="2338" xr:uid="{D1B4B921-AC52-4831-A2BF-A7E5DCEE8E08}"/>
    <cellStyle name="40% - 강조색5 116" xfId="2358" xr:uid="{17757108-6496-4EEA-9664-1D4FF67A0A8E}"/>
    <cellStyle name="40% - 강조색5 117" xfId="2378" xr:uid="{1426A59F-4E3F-415A-9AD4-B57CCD81A2AD}"/>
    <cellStyle name="40% - 강조색5 118" xfId="2398" xr:uid="{082BE3B6-7805-4C63-A2E7-2DBB091AA768}"/>
    <cellStyle name="40% - 강조색5 119" xfId="2418" xr:uid="{82DCAA45-B153-4906-920C-58A1957B015F}"/>
    <cellStyle name="40% - 강조색5 12" xfId="271" xr:uid="{00000000-0005-0000-0000-00007B040000}"/>
    <cellStyle name="40% - 강조색5 120" xfId="2438" xr:uid="{715FB4D7-C807-4A8D-BC97-F4A3A7858009}"/>
    <cellStyle name="40% - 강조색5 121" xfId="2458" xr:uid="{BBCEF8EC-C0D9-4E76-835F-934C267374F7}"/>
    <cellStyle name="40% - 강조색5 122" xfId="2478" xr:uid="{DDD0DAE1-85B8-4895-BD5A-E5CA98727213}"/>
    <cellStyle name="40% - 강조색5 123" xfId="2498" xr:uid="{EC393A36-FF0E-4D1A-BC22-2A39F897144C}"/>
    <cellStyle name="40% - 강조색5 124" xfId="2518" xr:uid="{5080B70F-7C3F-4CC1-8494-4A118951F12B}"/>
    <cellStyle name="40% - 강조색5 125" xfId="2538" xr:uid="{C15CC91A-84E2-43D6-A06F-9664A73F273E}"/>
    <cellStyle name="40% - 강조색5 126" xfId="2558" xr:uid="{E5C00807-95C5-43A5-8DB8-3E84868FC540}"/>
    <cellStyle name="40% - 강조색5 127" xfId="2578" xr:uid="{876C4FB9-D2FC-445B-BB54-81C26C4EE3FA}"/>
    <cellStyle name="40% - 강조색5 128" xfId="2598" xr:uid="{5FEEB94E-22C5-4B45-B146-8C4057E087DF}"/>
    <cellStyle name="40% - 강조색5 129" xfId="2618" xr:uid="{01B90EBC-48CF-43B3-8FDD-F4672E210161}"/>
    <cellStyle name="40% - 강조색5 13" xfId="291" xr:uid="{00000000-0005-0000-0000-00007C040000}"/>
    <cellStyle name="40% - 강조색5 130" xfId="2638" xr:uid="{6C2D24FB-0F23-4D11-96D3-0AB6D4F81EB7}"/>
    <cellStyle name="40% - 강조색5 131" xfId="2658" xr:uid="{00999517-BA72-4A17-8376-E24634806D8B}"/>
    <cellStyle name="40% - 강조색5 132" xfId="2678" xr:uid="{3E4990ED-8568-4518-8109-F11240163B12}"/>
    <cellStyle name="40% - 강조색5 133" xfId="2698" xr:uid="{C18ACAA5-9041-4CA0-8DD0-8E53D771B0AD}"/>
    <cellStyle name="40% - 강조색5 134" xfId="2718" xr:uid="{FE2AB736-3417-4D3D-A726-D5B26DD276AF}"/>
    <cellStyle name="40% - 강조색5 14" xfId="311" xr:uid="{00000000-0005-0000-0000-00007D040000}"/>
    <cellStyle name="40% - 강조색5 15" xfId="331" xr:uid="{00000000-0005-0000-0000-00007E040000}"/>
    <cellStyle name="40% - 강조색5 16" xfId="351" xr:uid="{00000000-0005-0000-0000-00007F040000}"/>
    <cellStyle name="40% - 강조색5 17" xfId="371" xr:uid="{00000000-0005-0000-0000-000080040000}"/>
    <cellStyle name="40% - 강조색5 18" xfId="391" xr:uid="{00000000-0005-0000-0000-000081040000}"/>
    <cellStyle name="40% - 강조색5 19" xfId="411" xr:uid="{00000000-0005-0000-0000-000082040000}"/>
    <cellStyle name="40% - 강조색5 2" xfId="56" xr:uid="{00000000-0005-0000-0000-000083040000}"/>
    <cellStyle name="40% - 강조색5 20" xfId="431" xr:uid="{00000000-0005-0000-0000-000084040000}"/>
    <cellStyle name="40% - 강조색5 21" xfId="451" xr:uid="{00000000-0005-0000-0000-000085040000}"/>
    <cellStyle name="40% - 강조색5 22" xfId="471" xr:uid="{00000000-0005-0000-0000-000086040000}"/>
    <cellStyle name="40% - 강조색5 23" xfId="491" xr:uid="{00000000-0005-0000-0000-000087040000}"/>
    <cellStyle name="40% - 강조색5 24" xfId="511" xr:uid="{00000000-0005-0000-0000-000088040000}"/>
    <cellStyle name="40% - 강조색5 25" xfId="531" xr:uid="{00000000-0005-0000-0000-000089040000}"/>
    <cellStyle name="40% - 강조색5 26" xfId="551" xr:uid="{00000000-0005-0000-0000-00008A040000}"/>
    <cellStyle name="40% - 강조색5 27" xfId="571" xr:uid="{00000000-0005-0000-0000-00008B040000}"/>
    <cellStyle name="40% - 강조색5 28" xfId="591" xr:uid="{00000000-0005-0000-0000-00008C040000}"/>
    <cellStyle name="40% - 강조색5 29" xfId="611" xr:uid="{00000000-0005-0000-0000-00008D040000}"/>
    <cellStyle name="40% - 강조색5 3" xfId="90" xr:uid="{00000000-0005-0000-0000-00008E040000}"/>
    <cellStyle name="40% - 강조색5 30" xfId="631" xr:uid="{00000000-0005-0000-0000-00008F040000}"/>
    <cellStyle name="40% - 강조색5 31" xfId="651" xr:uid="{00000000-0005-0000-0000-000090040000}"/>
    <cellStyle name="40% - 강조색5 32" xfId="671" xr:uid="{00000000-0005-0000-0000-000091040000}"/>
    <cellStyle name="40% - 강조색5 33" xfId="691" xr:uid="{00000000-0005-0000-0000-000092040000}"/>
    <cellStyle name="40% - 강조색5 34" xfId="711" xr:uid="{00000000-0005-0000-0000-000093040000}"/>
    <cellStyle name="40% - 강조색5 35" xfId="731" xr:uid="{00000000-0005-0000-0000-000094040000}"/>
    <cellStyle name="40% - 강조색5 36" xfId="751" xr:uid="{00000000-0005-0000-0000-000095040000}"/>
    <cellStyle name="40% - 강조색5 37" xfId="771" xr:uid="{00000000-0005-0000-0000-000096040000}"/>
    <cellStyle name="40% - 강조색5 38" xfId="791" xr:uid="{00000000-0005-0000-0000-000097040000}"/>
    <cellStyle name="40% - 강조색5 39" xfId="811" xr:uid="{00000000-0005-0000-0000-000098040000}"/>
    <cellStyle name="40% - 강조색5 4" xfId="111" xr:uid="{00000000-0005-0000-0000-000099040000}"/>
    <cellStyle name="40% - 강조색5 40" xfId="831" xr:uid="{00000000-0005-0000-0000-00009A040000}"/>
    <cellStyle name="40% - 강조색5 41" xfId="851" xr:uid="{00000000-0005-0000-0000-00009B040000}"/>
    <cellStyle name="40% - 강조색5 42" xfId="871" xr:uid="{00000000-0005-0000-0000-00009C040000}"/>
    <cellStyle name="40% - 강조색5 43" xfId="891" xr:uid="{00000000-0005-0000-0000-00009D040000}"/>
    <cellStyle name="40% - 강조색5 44" xfId="911" xr:uid="{00000000-0005-0000-0000-00009E040000}"/>
    <cellStyle name="40% - 강조색5 45" xfId="931" xr:uid="{00000000-0005-0000-0000-00009F040000}"/>
    <cellStyle name="40% - 강조색5 46" xfId="951" xr:uid="{00000000-0005-0000-0000-0000A0040000}"/>
    <cellStyle name="40% - 강조색5 47" xfId="971" xr:uid="{00000000-0005-0000-0000-0000A1040000}"/>
    <cellStyle name="40% - 강조색5 48" xfId="991" xr:uid="{00000000-0005-0000-0000-0000A2040000}"/>
    <cellStyle name="40% - 강조색5 49" xfId="1011" xr:uid="{00000000-0005-0000-0000-0000A3040000}"/>
    <cellStyle name="40% - 강조색5 5" xfId="131" xr:uid="{00000000-0005-0000-0000-0000A4040000}"/>
    <cellStyle name="40% - 강조색5 50" xfId="1031" xr:uid="{00000000-0005-0000-0000-0000A5040000}"/>
    <cellStyle name="40% - 강조색5 51" xfId="1051" xr:uid="{00000000-0005-0000-0000-0000A6040000}"/>
    <cellStyle name="40% - 강조색5 52" xfId="1071" xr:uid="{00000000-0005-0000-0000-0000A7040000}"/>
    <cellStyle name="40% - 강조색5 53" xfId="1091" xr:uid="{00000000-0005-0000-0000-0000A8040000}"/>
    <cellStyle name="40% - 강조색5 54" xfId="1111" xr:uid="{00000000-0005-0000-0000-0000A9040000}"/>
    <cellStyle name="40% - 강조색5 55" xfId="1131" xr:uid="{00000000-0005-0000-0000-0000AA040000}"/>
    <cellStyle name="40% - 강조색5 56" xfId="1151" xr:uid="{00000000-0005-0000-0000-0000AB040000}"/>
    <cellStyle name="40% - 강조색5 57" xfId="1171" xr:uid="{00000000-0005-0000-0000-0000AC040000}"/>
    <cellStyle name="40% - 강조색5 58" xfId="1191" xr:uid="{00000000-0005-0000-0000-0000AD040000}"/>
    <cellStyle name="40% - 강조색5 59" xfId="1211" xr:uid="{00000000-0005-0000-0000-0000AE040000}"/>
    <cellStyle name="40% - 강조색5 6" xfId="151" xr:uid="{00000000-0005-0000-0000-0000AF040000}"/>
    <cellStyle name="40% - 강조색5 60" xfId="1231" xr:uid="{00000000-0005-0000-0000-0000B0040000}"/>
    <cellStyle name="40% - 강조색5 61" xfId="1251" xr:uid="{00000000-0005-0000-0000-0000B1040000}"/>
    <cellStyle name="40% - 강조색5 62" xfId="1271" xr:uid="{00000000-0005-0000-0000-0000B2040000}"/>
    <cellStyle name="40% - 강조색5 63" xfId="1291" xr:uid="{00000000-0005-0000-0000-0000B3040000}"/>
    <cellStyle name="40% - 강조색5 64" xfId="1311" xr:uid="{00000000-0005-0000-0000-0000B4040000}"/>
    <cellStyle name="40% - 강조색5 65" xfId="1331" xr:uid="{00000000-0005-0000-0000-0000B5040000}"/>
    <cellStyle name="40% - 강조색5 66" xfId="1351" xr:uid="{00000000-0005-0000-0000-0000B6040000}"/>
    <cellStyle name="40% - 강조색5 67" xfId="1371" xr:uid="{00000000-0005-0000-0000-0000B7040000}"/>
    <cellStyle name="40% - 강조색5 68" xfId="1391" xr:uid="{00000000-0005-0000-0000-0000B8040000}"/>
    <cellStyle name="40% - 강조색5 69" xfId="1411" xr:uid="{00000000-0005-0000-0000-0000B9040000}"/>
    <cellStyle name="40% - 강조색5 7" xfId="171" xr:uid="{00000000-0005-0000-0000-0000BA040000}"/>
    <cellStyle name="40% - 강조색5 70" xfId="1431" xr:uid="{00000000-0005-0000-0000-0000BB040000}"/>
    <cellStyle name="40% - 강조색5 71" xfId="1451" xr:uid="{00000000-0005-0000-0000-0000BC040000}"/>
    <cellStyle name="40% - 강조색5 72" xfId="1471" xr:uid="{00000000-0005-0000-0000-0000BD040000}"/>
    <cellStyle name="40% - 강조색5 73" xfId="1491" xr:uid="{00000000-0005-0000-0000-0000BE040000}"/>
    <cellStyle name="40% - 강조색5 74" xfId="1511" xr:uid="{00000000-0005-0000-0000-0000BF040000}"/>
    <cellStyle name="40% - 강조색5 75" xfId="1531" xr:uid="{00000000-0005-0000-0000-0000C0040000}"/>
    <cellStyle name="40% - 강조색5 76" xfId="1551" xr:uid="{00000000-0005-0000-0000-0000C1040000}"/>
    <cellStyle name="40% - 강조색5 77" xfId="1571" xr:uid="{00000000-0005-0000-0000-0000C2040000}"/>
    <cellStyle name="40% - 강조색5 78" xfId="1591" xr:uid="{00000000-0005-0000-0000-0000C3040000}"/>
    <cellStyle name="40% - 강조색5 79" xfId="1611" xr:uid="{00000000-0005-0000-0000-0000C4040000}"/>
    <cellStyle name="40% - 강조색5 8" xfId="191" xr:uid="{00000000-0005-0000-0000-0000C5040000}"/>
    <cellStyle name="40% - 강조색5 80" xfId="1631" xr:uid="{00000000-0005-0000-0000-0000C6040000}"/>
    <cellStyle name="40% - 강조색5 81" xfId="1651" xr:uid="{00000000-0005-0000-0000-0000C7040000}"/>
    <cellStyle name="40% - 강조색5 82" xfId="1671" xr:uid="{00000000-0005-0000-0000-0000C8040000}"/>
    <cellStyle name="40% - 강조색5 83" xfId="1691" xr:uid="{00000000-0005-0000-0000-0000C9040000}"/>
    <cellStyle name="40% - 강조색5 84" xfId="1711" xr:uid="{00000000-0005-0000-0000-0000CA040000}"/>
    <cellStyle name="40% - 강조색5 85" xfId="1731" xr:uid="{00000000-0005-0000-0000-0000CB040000}"/>
    <cellStyle name="40% - 강조색5 86" xfId="1751" xr:uid="{00000000-0005-0000-0000-0000CC040000}"/>
    <cellStyle name="40% - 강조색5 87" xfId="1771" xr:uid="{00000000-0005-0000-0000-0000CD040000}"/>
    <cellStyle name="40% - 강조색5 88" xfId="1791" xr:uid="{00000000-0005-0000-0000-0000CE040000}"/>
    <cellStyle name="40% - 강조색5 89" xfId="1811" xr:uid="{00000000-0005-0000-0000-0000CF040000}"/>
    <cellStyle name="40% - 강조색5 9" xfId="211" xr:uid="{00000000-0005-0000-0000-0000D0040000}"/>
    <cellStyle name="40% - 강조색5 90" xfId="1831" xr:uid="{00000000-0005-0000-0000-0000D1040000}"/>
    <cellStyle name="40% - 강조색5 91" xfId="1851" xr:uid="{00000000-0005-0000-0000-0000D2040000}"/>
    <cellStyle name="40% - 강조색5 92" xfId="1871" xr:uid="{00000000-0005-0000-0000-0000D3040000}"/>
    <cellStyle name="40% - 강조색5 93" xfId="1891" xr:uid="{00000000-0005-0000-0000-0000D4040000}"/>
    <cellStyle name="40% - 강조색5 94" xfId="1911" xr:uid="{00000000-0005-0000-0000-0000D5040000}"/>
    <cellStyle name="40% - 강조색5 95" xfId="1931" xr:uid="{00000000-0005-0000-0000-0000D6040000}"/>
    <cellStyle name="40% - 강조색5 96" xfId="1951" xr:uid="{00000000-0005-0000-0000-0000D7040000}"/>
    <cellStyle name="40% - 강조색5 97" xfId="1971" xr:uid="{00000000-0005-0000-0000-0000D8040000}"/>
    <cellStyle name="40% - 강조색5 98" xfId="1991" xr:uid="{00000000-0005-0000-0000-0000D9040000}"/>
    <cellStyle name="40% - 강조색5 99" xfId="2011" xr:uid="{00000000-0005-0000-0000-0000DA040000}"/>
    <cellStyle name="40% - 강조색6" xfId="41" builtinId="51" customBuiltin="1"/>
    <cellStyle name="40% - 강조색6 10" xfId="234" xr:uid="{00000000-0005-0000-0000-0000DC040000}"/>
    <cellStyle name="40% - 강조색6 100" xfId="2034" xr:uid="{00000000-0005-0000-0000-0000DD040000}"/>
    <cellStyle name="40% - 강조색6 101" xfId="2054" xr:uid="{00000000-0005-0000-0000-0000DE040000}"/>
    <cellStyle name="40% - 강조색6 102" xfId="2074" xr:uid="{00000000-0005-0000-0000-0000DF040000}"/>
    <cellStyle name="40% - 강조색6 103" xfId="2094" xr:uid="{00000000-0005-0000-0000-0000E0040000}"/>
    <cellStyle name="40% - 강조색6 104" xfId="2114" xr:uid="{00000000-0005-0000-0000-0000E1040000}"/>
    <cellStyle name="40% - 강조색6 105" xfId="2134" xr:uid="{00000000-0005-0000-0000-0000E2040000}"/>
    <cellStyle name="40% - 강조색6 106" xfId="2154" xr:uid="{00000000-0005-0000-0000-0000E3040000}"/>
    <cellStyle name="40% - 강조색6 107" xfId="2174" xr:uid="{00000000-0005-0000-0000-0000E4040000}"/>
    <cellStyle name="40% - 강조색6 108" xfId="2194" xr:uid="{00000000-0005-0000-0000-0000E5040000}"/>
    <cellStyle name="40% - 강조색6 109" xfId="2214" xr:uid="{00000000-0005-0000-0000-0000E6040000}"/>
    <cellStyle name="40% - 강조색6 11" xfId="254" xr:uid="{00000000-0005-0000-0000-0000E7040000}"/>
    <cellStyle name="40% - 강조색6 110" xfId="2234" xr:uid="{00000000-0005-0000-0000-0000E8040000}"/>
    <cellStyle name="40% - 강조색6 111" xfId="2257" xr:uid="{00000000-0005-0000-0000-0000E9040000}"/>
    <cellStyle name="40% - 강조색6 112" xfId="2279" xr:uid="{00000000-0005-0000-0000-0000EA040000}"/>
    <cellStyle name="40% - 강조색6 113" xfId="2301" xr:uid="{00000000-0005-0000-0000-0000EB040000}"/>
    <cellStyle name="40% - 강조색6 114" xfId="2321" xr:uid="{6FE3A603-EFB1-4A8B-A1D6-B3AB120E8A94}"/>
    <cellStyle name="40% - 강조색6 115" xfId="2341" xr:uid="{8EF0322B-61C0-403E-8B34-93D0DE56EB47}"/>
    <cellStyle name="40% - 강조색6 116" xfId="2361" xr:uid="{8628BB17-D840-44E2-84EA-06E6F0EE4900}"/>
    <cellStyle name="40% - 강조색6 117" xfId="2381" xr:uid="{5EB0019C-7B48-4AD3-85B5-012BB46742F7}"/>
    <cellStyle name="40% - 강조색6 118" xfId="2401" xr:uid="{F315DA5E-64D6-47FD-9383-037E732149FE}"/>
    <cellStyle name="40% - 강조색6 119" xfId="2421" xr:uid="{514CFD7A-A845-4CCD-8EE1-B1E1E4FC418F}"/>
    <cellStyle name="40% - 강조색6 12" xfId="274" xr:uid="{00000000-0005-0000-0000-0000EC040000}"/>
    <cellStyle name="40% - 강조색6 120" xfId="2441" xr:uid="{E141FA8D-77CE-41A2-A05C-5FFFB940DAD3}"/>
    <cellStyle name="40% - 강조색6 121" xfId="2461" xr:uid="{9D15262F-68B1-4710-8F86-434CD874EF27}"/>
    <cellStyle name="40% - 강조색6 122" xfId="2481" xr:uid="{561BF63C-E4E1-4AA8-835D-9858890E0C0B}"/>
    <cellStyle name="40% - 강조색6 123" xfId="2501" xr:uid="{2FAE03D4-FAA4-4954-8992-AE63FB6E7C73}"/>
    <cellStyle name="40% - 강조색6 124" xfId="2521" xr:uid="{363A7E91-E1F1-4690-B85A-1766F05BDD8D}"/>
    <cellStyle name="40% - 강조색6 125" xfId="2541" xr:uid="{728A7A69-F573-4511-90D3-118E4A6FC387}"/>
    <cellStyle name="40% - 강조색6 126" xfId="2561" xr:uid="{908A2F28-2FCC-4F26-A4CF-3A339EB981B0}"/>
    <cellStyle name="40% - 강조색6 127" xfId="2581" xr:uid="{CC96239B-81AF-4E68-9B03-D28E6C50CA46}"/>
    <cellStyle name="40% - 강조색6 128" xfId="2601" xr:uid="{5417112F-5B71-4187-A095-08773C4461CA}"/>
    <cellStyle name="40% - 강조색6 129" xfId="2621" xr:uid="{87810DFE-A2F7-4BAC-9206-47FC87736125}"/>
    <cellStyle name="40% - 강조색6 13" xfId="294" xr:uid="{00000000-0005-0000-0000-0000ED040000}"/>
    <cellStyle name="40% - 강조색6 130" xfId="2641" xr:uid="{EB7D8650-56DA-46A5-8D33-15F260305E62}"/>
    <cellStyle name="40% - 강조색6 131" xfId="2661" xr:uid="{BB8D588E-2CF6-4316-B301-FE0411EBC38A}"/>
    <cellStyle name="40% - 강조색6 132" xfId="2681" xr:uid="{13CD0E3D-D2C7-42D4-A7EB-BFE9E64B98C7}"/>
    <cellStyle name="40% - 강조색6 133" xfId="2701" xr:uid="{C025287F-5E2A-404F-8191-FF32E90C6792}"/>
    <cellStyle name="40% - 강조색6 134" xfId="2721" xr:uid="{B2E671A1-AC1F-435F-AE30-312CDDE780DC}"/>
    <cellStyle name="40% - 강조색6 14" xfId="314" xr:uid="{00000000-0005-0000-0000-0000EE040000}"/>
    <cellStyle name="40% - 강조색6 15" xfId="334" xr:uid="{00000000-0005-0000-0000-0000EF040000}"/>
    <cellStyle name="40% - 강조색6 16" xfId="354" xr:uid="{00000000-0005-0000-0000-0000F0040000}"/>
    <cellStyle name="40% - 강조색6 17" xfId="374" xr:uid="{00000000-0005-0000-0000-0000F1040000}"/>
    <cellStyle name="40% - 강조색6 18" xfId="394" xr:uid="{00000000-0005-0000-0000-0000F2040000}"/>
    <cellStyle name="40% - 강조색6 19" xfId="414" xr:uid="{00000000-0005-0000-0000-0000F3040000}"/>
    <cellStyle name="40% - 강조색6 2" xfId="58" xr:uid="{00000000-0005-0000-0000-0000F4040000}"/>
    <cellStyle name="40% - 강조색6 20" xfId="434" xr:uid="{00000000-0005-0000-0000-0000F5040000}"/>
    <cellStyle name="40% - 강조색6 21" xfId="454" xr:uid="{00000000-0005-0000-0000-0000F6040000}"/>
    <cellStyle name="40% - 강조색6 22" xfId="474" xr:uid="{00000000-0005-0000-0000-0000F7040000}"/>
    <cellStyle name="40% - 강조색6 23" xfId="494" xr:uid="{00000000-0005-0000-0000-0000F8040000}"/>
    <cellStyle name="40% - 강조색6 24" xfId="514" xr:uid="{00000000-0005-0000-0000-0000F9040000}"/>
    <cellStyle name="40% - 강조색6 25" xfId="534" xr:uid="{00000000-0005-0000-0000-0000FA040000}"/>
    <cellStyle name="40% - 강조색6 26" xfId="554" xr:uid="{00000000-0005-0000-0000-0000FB040000}"/>
    <cellStyle name="40% - 강조색6 27" xfId="574" xr:uid="{00000000-0005-0000-0000-0000FC040000}"/>
    <cellStyle name="40% - 강조색6 28" xfId="594" xr:uid="{00000000-0005-0000-0000-0000FD040000}"/>
    <cellStyle name="40% - 강조색6 29" xfId="614" xr:uid="{00000000-0005-0000-0000-0000FE040000}"/>
    <cellStyle name="40% - 강조색6 3" xfId="94" xr:uid="{00000000-0005-0000-0000-0000FF040000}"/>
    <cellStyle name="40% - 강조색6 30" xfId="634" xr:uid="{00000000-0005-0000-0000-000000050000}"/>
    <cellStyle name="40% - 강조색6 31" xfId="654" xr:uid="{00000000-0005-0000-0000-000001050000}"/>
    <cellStyle name="40% - 강조색6 32" xfId="674" xr:uid="{00000000-0005-0000-0000-000002050000}"/>
    <cellStyle name="40% - 강조색6 33" xfId="694" xr:uid="{00000000-0005-0000-0000-000003050000}"/>
    <cellStyle name="40% - 강조색6 34" xfId="714" xr:uid="{00000000-0005-0000-0000-000004050000}"/>
    <cellStyle name="40% - 강조색6 35" xfId="734" xr:uid="{00000000-0005-0000-0000-000005050000}"/>
    <cellStyle name="40% - 강조색6 36" xfId="754" xr:uid="{00000000-0005-0000-0000-000006050000}"/>
    <cellStyle name="40% - 강조색6 37" xfId="774" xr:uid="{00000000-0005-0000-0000-000007050000}"/>
    <cellStyle name="40% - 강조색6 38" xfId="794" xr:uid="{00000000-0005-0000-0000-000008050000}"/>
    <cellStyle name="40% - 강조색6 39" xfId="814" xr:uid="{00000000-0005-0000-0000-000009050000}"/>
    <cellStyle name="40% - 강조색6 4" xfId="114" xr:uid="{00000000-0005-0000-0000-00000A050000}"/>
    <cellStyle name="40% - 강조색6 40" xfId="834" xr:uid="{00000000-0005-0000-0000-00000B050000}"/>
    <cellStyle name="40% - 강조색6 41" xfId="854" xr:uid="{00000000-0005-0000-0000-00000C050000}"/>
    <cellStyle name="40% - 강조색6 42" xfId="874" xr:uid="{00000000-0005-0000-0000-00000D050000}"/>
    <cellStyle name="40% - 강조색6 43" xfId="894" xr:uid="{00000000-0005-0000-0000-00000E050000}"/>
    <cellStyle name="40% - 강조색6 44" xfId="914" xr:uid="{00000000-0005-0000-0000-00000F050000}"/>
    <cellStyle name="40% - 강조색6 45" xfId="934" xr:uid="{00000000-0005-0000-0000-000010050000}"/>
    <cellStyle name="40% - 강조색6 46" xfId="954" xr:uid="{00000000-0005-0000-0000-000011050000}"/>
    <cellStyle name="40% - 강조색6 47" xfId="974" xr:uid="{00000000-0005-0000-0000-000012050000}"/>
    <cellStyle name="40% - 강조색6 48" xfId="994" xr:uid="{00000000-0005-0000-0000-000013050000}"/>
    <cellStyle name="40% - 강조색6 49" xfId="1014" xr:uid="{00000000-0005-0000-0000-000014050000}"/>
    <cellStyle name="40% - 강조색6 5" xfId="134" xr:uid="{00000000-0005-0000-0000-000015050000}"/>
    <cellStyle name="40% - 강조색6 50" xfId="1034" xr:uid="{00000000-0005-0000-0000-000016050000}"/>
    <cellStyle name="40% - 강조색6 51" xfId="1054" xr:uid="{00000000-0005-0000-0000-000017050000}"/>
    <cellStyle name="40% - 강조색6 52" xfId="1074" xr:uid="{00000000-0005-0000-0000-000018050000}"/>
    <cellStyle name="40% - 강조색6 53" xfId="1094" xr:uid="{00000000-0005-0000-0000-000019050000}"/>
    <cellStyle name="40% - 강조색6 54" xfId="1114" xr:uid="{00000000-0005-0000-0000-00001A050000}"/>
    <cellStyle name="40% - 강조색6 55" xfId="1134" xr:uid="{00000000-0005-0000-0000-00001B050000}"/>
    <cellStyle name="40% - 강조색6 56" xfId="1154" xr:uid="{00000000-0005-0000-0000-00001C050000}"/>
    <cellStyle name="40% - 강조색6 57" xfId="1174" xr:uid="{00000000-0005-0000-0000-00001D050000}"/>
    <cellStyle name="40% - 강조색6 58" xfId="1194" xr:uid="{00000000-0005-0000-0000-00001E050000}"/>
    <cellStyle name="40% - 강조색6 59" xfId="1214" xr:uid="{00000000-0005-0000-0000-00001F050000}"/>
    <cellStyle name="40% - 강조색6 6" xfId="154" xr:uid="{00000000-0005-0000-0000-000020050000}"/>
    <cellStyle name="40% - 강조색6 60" xfId="1234" xr:uid="{00000000-0005-0000-0000-000021050000}"/>
    <cellStyle name="40% - 강조색6 61" xfId="1254" xr:uid="{00000000-0005-0000-0000-000022050000}"/>
    <cellStyle name="40% - 강조색6 62" xfId="1274" xr:uid="{00000000-0005-0000-0000-000023050000}"/>
    <cellStyle name="40% - 강조색6 63" xfId="1294" xr:uid="{00000000-0005-0000-0000-000024050000}"/>
    <cellStyle name="40% - 강조색6 64" xfId="1314" xr:uid="{00000000-0005-0000-0000-000025050000}"/>
    <cellStyle name="40% - 강조색6 65" xfId="1334" xr:uid="{00000000-0005-0000-0000-000026050000}"/>
    <cellStyle name="40% - 강조색6 66" xfId="1354" xr:uid="{00000000-0005-0000-0000-000027050000}"/>
    <cellStyle name="40% - 강조색6 67" xfId="1374" xr:uid="{00000000-0005-0000-0000-000028050000}"/>
    <cellStyle name="40% - 강조색6 68" xfId="1394" xr:uid="{00000000-0005-0000-0000-000029050000}"/>
    <cellStyle name="40% - 강조색6 69" xfId="1414" xr:uid="{00000000-0005-0000-0000-00002A050000}"/>
    <cellStyle name="40% - 강조색6 7" xfId="174" xr:uid="{00000000-0005-0000-0000-00002B050000}"/>
    <cellStyle name="40% - 강조색6 70" xfId="1434" xr:uid="{00000000-0005-0000-0000-00002C050000}"/>
    <cellStyle name="40% - 강조색6 71" xfId="1454" xr:uid="{00000000-0005-0000-0000-00002D050000}"/>
    <cellStyle name="40% - 강조색6 72" xfId="1474" xr:uid="{00000000-0005-0000-0000-00002E050000}"/>
    <cellStyle name="40% - 강조색6 73" xfId="1494" xr:uid="{00000000-0005-0000-0000-00002F050000}"/>
    <cellStyle name="40% - 강조색6 74" xfId="1514" xr:uid="{00000000-0005-0000-0000-000030050000}"/>
    <cellStyle name="40% - 강조색6 75" xfId="1534" xr:uid="{00000000-0005-0000-0000-000031050000}"/>
    <cellStyle name="40% - 강조색6 76" xfId="1554" xr:uid="{00000000-0005-0000-0000-000032050000}"/>
    <cellStyle name="40% - 강조색6 77" xfId="1574" xr:uid="{00000000-0005-0000-0000-000033050000}"/>
    <cellStyle name="40% - 강조색6 78" xfId="1594" xr:uid="{00000000-0005-0000-0000-000034050000}"/>
    <cellStyle name="40% - 강조색6 79" xfId="1614" xr:uid="{00000000-0005-0000-0000-000035050000}"/>
    <cellStyle name="40% - 강조색6 8" xfId="194" xr:uid="{00000000-0005-0000-0000-000036050000}"/>
    <cellStyle name="40% - 강조색6 80" xfId="1634" xr:uid="{00000000-0005-0000-0000-000037050000}"/>
    <cellStyle name="40% - 강조색6 81" xfId="1654" xr:uid="{00000000-0005-0000-0000-000038050000}"/>
    <cellStyle name="40% - 강조색6 82" xfId="1674" xr:uid="{00000000-0005-0000-0000-000039050000}"/>
    <cellStyle name="40% - 강조색6 83" xfId="1694" xr:uid="{00000000-0005-0000-0000-00003A050000}"/>
    <cellStyle name="40% - 강조색6 84" xfId="1714" xr:uid="{00000000-0005-0000-0000-00003B050000}"/>
    <cellStyle name="40% - 강조색6 85" xfId="1734" xr:uid="{00000000-0005-0000-0000-00003C050000}"/>
    <cellStyle name="40% - 강조색6 86" xfId="1754" xr:uid="{00000000-0005-0000-0000-00003D050000}"/>
    <cellStyle name="40% - 강조색6 87" xfId="1774" xr:uid="{00000000-0005-0000-0000-00003E050000}"/>
    <cellStyle name="40% - 강조색6 88" xfId="1794" xr:uid="{00000000-0005-0000-0000-00003F050000}"/>
    <cellStyle name="40% - 강조색6 89" xfId="1814" xr:uid="{00000000-0005-0000-0000-000040050000}"/>
    <cellStyle name="40% - 강조색6 9" xfId="214" xr:uid="{00000000-0005-0000-0000-000041050000}"/>
    <cellStyle name="40% - 강조색6 90" xfId="1834" xr:uid="{00000000-0005-0000-0000-000042050000}"/>
    <cellStyle name="40% - 강조색6 91" xfId="1854" xr:uid="{00000000-0005-0000-0000-000043050000}"/>
    <cellStyle name="40% - 강조색6 92" xfId="1874" xr:uid="{00000000-0005-0000-0000-000044050000}"/>
    <cellStyle name="40% - 강조색6 93" xfId="1894" xr:uid="{00000000-0005-0000-0000-000045050000}"/>
    <cellStyle name="40% - 강조색6 94" xfId="1914" xr:uid="{00000000-0005-0000-0000-000046050000}"/>
    <cellStyle name="40% - 강조색6 95" xfId="1934" xr:uid="{00000000-0005-0000-0000-000047050000}"/>
    <cellStyle name="40% - 강조색6 96" xfId="1954" xr:uid="{00000000-0005-0000-0000-000048050000}"/>
    <cellStyle name="40% - 강조색6 97" xfId="1974" xr:uid="{00000000-0005-0000-0000-000049050000}"/>
    <cellStyle name="40% - 강조색6 98" xfId="1994" xr:uid="{00000000-0005-0000-0000-00004A050000}"/>
    <cellStyle name="40% - 강조색6 99" xfId="2014" xr:uid="{00000000-0005-0000-0000-00004B050000}"/>
    <cellStyle name="60% - 강조색1" xfId="22" builtinId="32" customBuiltin="1"/>
    <cellStyle name="60% - 강조색1 10" xfId="240" xr:uid="{00000000-0005-0000-0000-00004D050000}"/>
    <cellStyle name="60% - 강조색1 100" xfId="2040" xr:uid="{00000000-0005-0000-0000-00004E050000}"/>
    <cellStyle name="60% - 강조색1 101" xfId="2060" xr:uid="{00000000-0005-0000-0000-00004F050000}"/>
    <cellStyle name="60% - 강조색1 102" xfId="2080" xr:uid="{00000000-0005-0000-0000-000050050000}"/>
    <cellStyle name="60% - 강조색1 103" xfId="2100" xr:uid="{00000000-0005-0000-0000-000051050000}"/>
    <cellStyle name="60% - 강조색1 104" xfId="2120" xr:uid="{00000000-0005-0000-0000-000052050000}"/>
    <cellStyle name="60% - 강조색1 105" xfId="2140" xr:uid="{00000000-0005-0000-0000-000053050000}"/>
    <cellStyle name="60% - 강조색1 106" xfId="2160" xr:uid="{00000000-0005-0000-0000-000054050000}"/>
    <cellStyle name="60% - 강조색1 107" xfId="2180" xr:uid="{00000000-0005-0000-0000-000055050000}"/>
    <cellStyle name="60% - 강조색1 108" xfId="2200" xr:uid="{00000000-0005-0000-0000-000056050000}"/>
    <cellStyle name="60% - 강조색1 109" xfId="2220" xr:uid="{00000000-0005-0000-0000-000057050000}"/>
    <cellStyle name="60% - 강조색1 11" xfId="260" xr:uid="{00000000-0005-0000-0000-000058050000}"/>
    <cellStyle name="60% - 강조색1 110" xfId="2243" xr:uid="{00000000-0005-0000-0000-000059050000}"/>
    <cellStyle name="60% - 강조색1 111" xfId="2265" xr:uid="{00000000-0005-0000-0000-00005A050000}"/>
    <cellStyle name="60% - 강조색1 112" xfId="2287" xr:uid="{00000000-0005-0000-0000-00005B050000}"/>
    <cellStyle name="60% - 강조색1 113" xfId="2307" xr:uid="{94562F18-86D2-4C3F-8281-C5FAD79F25D3}"/>
    <cellStyle name="60% - 강조색1 114" xfId="2327" xr:uid="{709BDF53-0EC5-4D62-A17E-4A20F77D112A}"/>
    <cellStyle name="60% - 강조색1 115" xfId="2347" xr:uid="{183C4113-8515-4172-A5A0-9AFB2AC59FAE}"/>
    <cellStyle name="60% - 강조색1 116" xfId="2367" xr:uid="{F3D48CCC-C98D-4723-B2EC-43C6F2F52549}"/>
    <cellStyle name="60% - 강조색1 117" xfId="2387" xr:uid="{AEA83092-1CDE-4A96-885E-AFDDFDEB653C}"/>
    <cellStyle name="60% - 강조색1 118" xfId="2407" xr:uid="{3FDCB94C-A05F-4314-831E-6D849731E325}"/>
    <cellStyle name="60% - 강조색1 119" xfId="2427" xr:uid="{8B20D8DF-052F-426F-8011-4487CECDED67}"/>
    <cellStyle name="60% - 강조색1 12" xfId="280" xr:uid="{00000000-0005-0000-0000-00005C050000}"/>
    <cellStyle name="60% - 강조색1 120" xfId="2447" xr:uid="{CF131AA1-FE24-4177-99AE-09707BCA52CA}"/>
    <cellStyle name="60% - 강조색1 121" xfId="2467" xr:uid="{C17E8DDF-8631-45F1-A5E4-36AB682FA859}"/>
    <cellStyle name="60% - 강조색1 122" xfId="2487" xr:uid="{975FFECF-6D67-4DFB-8556-055C73735A67}"/>
    <cellStyle name="60% - 강조색1 123" xfId="2507" xr:uid="{D7B04EE1-5A3F-4201-88BF-B0FB8C9AC219}"/>
    <cellStyle name="60% - 강조색1 124" xfId="2527" xr:uid="{5AB6400A-6663-4145-AD27-C078763B7FE9}"/>
    <cellStyle name="60% - 강조색1 125" xfId="2547" xr:uid="{341DA7BC-F61A-4FDE-B06E-BB4DF8E3BBD2}"/>
    <cellStyle name="60% - 강조색1 126" xfId="2567" xr:uid="{EFF26A6B-535B-41F9-9725-9E5F84574639}"/>
    <cellStyle name="60% - 강조색1 127" xfId="2587" xr:uid="{6E62FCDC-E209-4CA3-AA63-31C1AD555242}"/>
    <cellStyle name="60% - 강조색1 128" xfId="2607" xr:uid="{4F989899-35E4-467F-BA44-8F3FF2A149F4}"/>
    <cellStyle name="60% - 강조색1 129" xfId="2627" xr:uid="{C310B2A8-D8B8-405F-AF84-979FB5AB461B}"/>
    <cellStyle name="60% - 강조색1 13" xfId="300" xr:uid="{00000000-0005-0000-0000-00005D050000}"/>
    <cellStyle name="60% - 강조색1 130" xfId="2647" xr:uid="{8117FA27-4C87-45E1-B1A1-5D1E0364BF5B}"/>
    <cellStyle name="60% - 강조색1 131" xfId="2667" xr:uid="{D3B900F7-AEDD-4345-BE11-0E2E4959694D}"/>
    <cellStyle name="60% - 강조색1 132" xfId="2687" xr:uid="{1F9B3191-0A95-43A6-9AA5-833DE2844445}"/>
    <cellStyle name="60% - 강조색1 133" xfId="2707" xr:uid="{34AAF5B4-E78F-405E-B34B-E7DE3B349DEE}"/>
    <cellStyle name="60% - 강조색1 14" xfId="320" xr:uid="{00000000-0005-0000-0000-00005E050000}"/>
    <cellStyle name="60% - 강조색1 15" xfId="340" xr:uid="{00000000-0005-0000-0000-00005F050000}"/>
    <cellStyle name="60% - 강조색1 16" xfId="360" xr:uid="{00000000-0005-0000-0000-000060050000}"/>
    <cellStyle name="60% - 강조색1 17" xfId="380" xr:uid="{00000000-0005-0000-0000-000061050000}"/>
    <cellStyle name="60% - 강조색1 18" xfId="400" xr:uid="{00000000-0005-0000-0000-000062050000}"/>
    <cellStyle name="60% - 강조색1 19" xfId="420" xr:uid="{00000000-0005-0000-0000-000063050000}"/>
    <cellStyle name="60% - 강조색1 2" xfId="75" xr:uid="{00000000-0005-0000-0000-000064050000}"/>
    <cellStyle name="60% - 강조색1 20" xfId="440" xr:uid="{00000000-0005-0000-0000-000065050000}"/>
    <cellStyle name="60% - 강조색1 21" xfId="460" xr:uid="{00000000-0005-0000-0000-000066050000}"/>
    <cellStyle name="60% - 강조색1 22" xfId="480" xr:uid="{00000000-0005-0000-0000-000067050000}"/>
    <cellStyle name="60% - 강조색1 23" xfId="500" xr:uid="{00000000-0005-0000-0000-000068050000}"/>
    <cellStyle name="60% - 강조색1 24" xfId="520" xr:uid="{00000000-0005-0000-0000-000069050000}"/>
    <cellStyle name="60% - 강조색1 25" xfId="540" xr:uid="{00000000-0005-0000-0000-00006A050000}"/>
    <cellStyle name="60% - 강조색1 26" xfId="560" xr:uid="{00000000-0005-0000-0000-00006B050000}"/>
    <cellStyle name="60% - 강조색1 27" xfId="580" xr:uid="{00000000-0005-0000-0000-00006C050000}"/>
    <cellStyle name="60% - 강조색1 28" xfId="600" xr:uid="{00000000-0005-0000-0000-00006D050000}"/>
    <cellStyle name="60% - 강조색1 29" xfId="620" xr:uid="{00000000-0005-0000-0000-00006E050000}"/>
    <cellStyle name="60% - 강조색1 3" xfId="100" xr:uid="{00000000-0005-0000-0000-00006F050000}"/>
    <cellStyle name="60% - 강조색1 30" xfId="640" xr:uid="{00000000-0005-0000-0000-000070050000}"/>
    <cellStyle name="60% - 강조색1 31" xfId="660" xr:uid="{00000000-0005-0000-0000-000071050000}"/>
    <cellStyle name="60% - 강조색1 32" xfId="680" xr:uid="{00000000-0005-0000-0000-000072050000}"/>
    <cellStyle name="60% - 강조색1 33" xfId="700" xr:uid="{00000000-0005-0000-0000-000073050000}"/>
    <cellStyle name="60% - 강조색1 34" xfId="720" xr:uid="{00000000-0005-0000-0000-000074050000}"/>
    <cellStyle name="60% - 강조색1 35" xfId="740" xr:uid="{00000000-0005-0000-0000-000075050000}"/>
    <cellStyle name="60% - 강조색1 36" xfId="760" xr:uid="{00000000-0005-0000-0000-000076050000}"/>
    <cellStyle name="60% - 강조색1 37" xfId="780" xr:uid="{00000000-0005-0000-0000-000077050000}"/>
    <cellStyle name="60% - 강조색1 38" xfId="800" xr:uid="{00000000-0005-0000-0000-000078050000}"/>
    <cellStyle name="60% - 강조색1 39" xfId="820" xr:uid="{00000000-0005-0000-0000-000079050000}"/>
    <cellStyle name="60% - 강조색1 4" xfId="120" xr:uid="{00000000-0005-0000-0000-00007A050000}"/>
    <cellStyle name="60% - 강조색1 40" xfId="840" xr:uid="{00000000-0005-0000-0000-00007B050000}"/>
    <cellStyle name="60% - 강조색1 41" xfId="860" xr:uid="{00000000-0005-0000-0000-00007C050000}"/>
    <cellStyle name="60% - 강조색1 42" xfId="880" xr:uid="{00000000-0005-0000-0000-00007D050000}"/>
    <cellStyle name="60% - 강조색1 43" xfId="900" xr:uid="{00000000-0005-0000-0000-00007E050000}"/>
    <cellStyle name="60% - 강조색1 44" xfId="920" xr:uid="{00000000-0005-0000-0000-00007F050000}"/>
    <cellStyle name="60% - 강조색1 45" xfId="940" xr:uid="{00000000-0005-0000-0000-000080050000}"/>
    <cellStyle name="60% - 강조색1 46" xfId="960" xr:uid="{00000000-0005-0000-0000-000081050000}"/>
    <cellStyle name="60% - 강조색1 47" xfId="980" xr:uid="{00000000-0005-0000-0000-000082050000}"/>
    <cellStyle name="60% - 강조색1 48" xfId="1000" xr:uid="{00000000-0005-0000-0000-000083050000}"/>
    <cellStyle name="60% - 강조색1 49" xfId="1020" xr:uid="{00000000-0005-0000-0000-000084050000}"/>
    <cellStyle name="60% - 강조색1 5" xfId="140" xr:uid="{00000000-0005-0000-0000-000085050000}"/>
    <cellStyle name="60% - 강조색1 50" xfId="1040" xr:uid="{00000000-0005-0000-0000-000086050000}"/>
    <cellStyle name="60% - 강조색1 51" xfId="1060" xr:uid="{00000000-0005-0000-0000-000087050000}"/>
    <cellStyle name="60% - 강조색1 52" xfId="1080" xr:uid="{00000000-0005-0000-0000-000088050000}"/>
    <cellStyle name="60% - 강조색1 53" xfId="1100" xr:uid="{00000000-0005-0000-0000-000089050000}"/>
    <cellStyle name="60% - 강조색1 54" xfId="1120" xr:uid="{00000000-0005-0000-0000-00008A050000}"/>
    <cellStyle name="60% - 강조색1 55" xfId="1140" xr:uid="{00000000-0005-0000-0000-00008B050000}"/>
    <cellStyle name="60% - 강조색1 56" xfId="1160" xr:uid="{00000000-0005-0000-0000-00008C050000}"/>
    <cellStyle name="60% - 강조색1 57" xfId="1180" xr:uid="{00000000-0005-0000-0000-00008D050000}"/>
    <cellStyle name="60% - 강조색1 58" xfId="1200" xr:uid="{00000000-0005-0000-0000-00008E050000}"/>
    <cellStyle name="60% - 강조색1 59" xfId="1220" xr:uid="{00000000-0005-0000-0000-00008F050000}"/>
    <cellStyle name="60% - 강조색1 6" xfId="160" xr:uid="{00000000-0005-0000-0000-000090050000}"/>
    <cellStyle name="60% - 강조색1 60" xfId="1240" xr:uid="{00000000-0005-0000-0000-000091050000}"/>
    <cellStyle name="60% - 강조색1 61" xfId="1260" xr:uid="{00000000-0005-0000-0000-000092050000}"/>
    <cellStyle name="60% - 강조색1 62" xfId="1280" xr:uid="{00000000-0005-0000-0000-000093050000}"/>
    <cellStyle name="60% - 강조색1 63" xfId="1300" xr:uid="{00000000-0005-0000-0000-000094050000}"/>
    <cellStyle name="60% - 강조색1 64" xfId="1320" xr:uid="{00000000-0005-0000-0000-000095050000}"/>
    <cellStyle name="60% - 강조색1 65" xfId="1340" xr:uid="{00000000-0005-0000-0000-000096050000}"/>
    <cellStyle name="60% - 강조색1 66" xfId="1360" xr:uid="{00000000-0005-0000-0000-000097050000}"/>
    <cellStyle name="60% - 강조색1 67" xfId="1380" xr:uid="{00000000-0005-0000-0000-000098050000}"/>
    <cellStyle name="60% - 강조색1 68" xfId="1400" xr:uid="{00000000-0005-0000-0000-000099050000}"/>
    <cellStyle name="60% - 강조색1 69" xfId="1420" xr:uid="{00000000-0005-0000-0000-00009A050000}"/>
    <cellStyle name="60% - 강조색1 7" xfId="180" xr:uid="{00000000-0005-0000-0000-00009B050000}"/>
    <cellStyle name="60% - 강조색1 70" xfId="1440" xr:uid="{00000000-0005-0000-0000-00009C050000}"/>
    <cellStyle name="60% - 강조색1 71" xfId="1460" xr:uid="{00000000-0005-0000-0000-00009D050000}"/>
    <cellStyle name="60% - 강조색1 72" xfId="1480" xr:uid="{00000000-0005-0000-0000-00009E050000}"/>
    <cellStyle name="60% - 강조색1 73" xfId="1500" xr:uid="{00000000-0005-0000-0000-00009F050000}"/>
    <cellStyle name="60% - 강조색1 74" xfId="1520" xr:uid="{00000000-0005-0000-0000-0000A0050000}"/>
    <cellStyle name="60% - 강조색1 75" xfId="1540" xr:uid="{00000000-0005-0000-0000-0000A1050000}"/>
    <cellStyle name="60% - 강조색1 76" xfId="1560" xr:uid="{00000000-0005-0000-0000-0000A2050000}"/>
    <cellStyle name="60% - 강조색1 77" xfId="1580" xr:uid="{00000000-0005-0000-0000-0000A3050000}"/>
    <cellStyle name="60% - 강조색1 78" xfId="1600" xr:uid="{00000000-0005-0000-0000-0000A4050000}"/>
    <cellStyle name="60% - 강조색1 79" xfId="1620" xr:uid="{00000000-0005-0000-0000-0000A5050000}"/>
    <cellStyle name="60% - 강조색1 8" xfId="200" xr:uid="{00000000-0005-0000-0000-0000A6050000}"/>
    <cellStyle name="60% - 강조색1 80" xfId="1640" xr:uid="{00000000-0005-0000-0000-0000A7050000}"/>
    <cellStyle name="60% - 강조색1 81" xfId="1660" xr:uid="{00000000-0005-0000-0000-0000A8050000}"/>
    <cellStyle name="60% - 강조색1 82" xfId="1680" xr:uid="{00000000-0005-0000-0000-0000A9050000}"/>
    <cellStyle name="60% - 강조색1 83" xfId="1700" xr:uid="{00000000-0005-0000-0000-0000AA050000}"/>
    <cellStyle name="60% - 강조색1 84" xfId="1720" xr:uid="{00000000-0005-0000-0000-0000AB050000}"/>
    <cellStyle name="60% - 강조색1 85" xfId="1740" xr:uid="{00000000-0005-0000-0000-0000AC050000}"/>
    <cellStyle name="60% - 강조색1 86" xfId="1760" xr:uid="{00000000-0005-0000-0000-0000AD050000}"/>
    <cellStyle name="60% - 강조색1 87" xfId="1780" xr:uid="{00000000-0005-0000-0000-0000AE050000}"/>
    <cellStyle name="60% - 강조색1 88" xfId="1800" xr:uid="{00000000-0005-0000-0000-0000AF050000}"/>
    <cellStyle name="60% - 강조색1 89" xfId="1820" xr:uid="{00000000-0005-0000-0000-0000B0050000}"/>
    <cellStyle name="60% - 강조색1 9" xfId="220" xr:uid="{00000000-0005-0000-0000-0000B1050000}"/>
    <cellStyle name="60% - 강조색1 90" xfId="1840" xr:uid="{00000000-0005-0000-0000-0000B2050000}"/>
    <cellStyle name="60% - 강조색1 91" xfId="1860" xr:uid="{00000000-0005-0000-0000-0000B3050000}"/>
    <cellStyle name="60% - 강조색1 92" xfId="1880" xr:uid="{00000000-0005-0000-0000-0000B4050000}"/>
    <cellStyle name="60% - 강조색1 93" xfId="1900" xr:uid="{00000000-0005-0000-0000-0000B5050000}"/>
    <cellStyle name="60% - 강조색1 94" xfId="1920" xr:uid="{00000000-0005-0000-0000-0000B6050000}"/>
    <cellStyle name="60% - 강조색1 95" xfId="1940" xr:uid="{00000000-0005-0000-0000-0000B7050000}"/>
    <cellStyle name="60% - 강조색1 96" xfId="1960" xr:uid="{00000000-0005-0000-0000-0000B8050000}"/>
    <cellStyle name="60% - 강조색1 97" xfId="1980" xr:uid="{00000000-0005-0000-0000-0000B9050000}"/>
    <cellStyle name="60% - 강조색1 98" xfId="2000" xr:uid="{00000000-0005-0000-0000-0000BA050000}"/>
    <cellStyle name="60% - 강조색1 99" xfId="2020" xr:uid="{00000000-0005-0000-0000-0000BB050000}"/>
    <cellStyle name="60% - 강조색2" xfId="26" builtinId="36" customBuiltin="1"/>
    <cellStyle name="60% - 강조색2 10" xfId="243" xr:uid="{00000000-0005-0000-0000-0000BD050000}"/>
    <cellStyle name="60% - 강조색2 100" xfId="2043" xr:uid="{00000000-0005-0000-0000-0000BE050000}"/>
    <cellStyle name="60% - 강조색2 101" xfId="2063" xr:uid="{00000000-0005-0000-0000-0000BF050000}"/>
    <cellStyle name="60% - 강조색2 102" xfId="2083" xr:uid="{00000000-0005-0000-0000-0000C0050000}"/>
    <cellStyle name="60% - 강조색2 103" xfId="2103" xr:uid="{00000000-0005-0000-0000-0000C1050000}"/>
    <cellStyle name="60% - 강조색2 104" xfId="2123" xr:uid="{00000000-0005-0000-0000-0000C2050000}"/>
    <cellStyle name="60% - 강조색2 105" xfId="2143" xr:uid="{00000000-0005-0000-0000-0000C3050000}"/>
    <cellStyle name="60% - 강조색2 106" xfId="2163" xr:uid="{00000000-0005-0000-0000-0000C4050000}"/>
    <cellStyle name="60% - 강조색2 107" xfId="2183" xr:uid="{00000000-0005-0000-0000-0000C5050000}"/>
    <cellStyle name="60% - 강조색2 108" xfId="2203" xr:uid="{00000000-0005-0000-0000-0000C6050000}"/>
    <cellStyle name="60% - 강조색2 109" xfId="2223" xr:uid="{00000000-0005-0000-0000-0000C7050000}"/>
    <cellStyle name="60% - 강조색2 11" xfId="263" xr:uid="{00000000-0005-0000-0000-0000C8050000}"/>
    <cellStyle name="60% - 강조색2 110" xfId="2246" xr:uid="{00000000-0005-0000-0000-0000C9050000}"/>
    <cellStyle name="60% - 강조색2 111" xfId="2268" xr:uid="{00000000-0005-0000-0000-0000CA050000}"/>
    <cellStyle name="60% - 강조색2 112" xfId="2290" xr:uid="{00000000-0005-0000-0000-0000CB050000}"/>
    <cellStyle name="60% - 강조색2 113" xfId="2310" xr:uid="{DABC1068-F4D4-4D10-B30E-5D1CDD30CE2F}"/>
    <cellStyle name="60% - 강조색2 114" xfId="2330" xr:uid="{F0D33F7A-DE13-4E7D-85D6-FCBA07884407}"/>
    <cellStyle name="60% - 강조색2 115" xfId="2350" xr:uid="{7F62D4A3-4F9F-4163-82ED-20EF057CC02D}"/>
    <cellStyle name="60% - 강조색2 116" xfId="2370" xr:uid="{8E41706C-5C38-4BFA-AA2C-3688EAFADCAA}"/>
    <cellStyle name="60% - 강조색2 117" xfId="2390" xr:uid="{D921DEDB-716D-457E-A9D1-8203D542C467}"/>
    <cellStyle name="60% - 강조색2 118" xfId="2410" xr:uid="{83228DDD-B181-47AE-A3AB-431BD0C3566A}"/>
    <cellStyle name="60% - 강조색2 119" xfId="2430" xr:uid="{7DC7967F-5820-4595-8C97-17DDFDE663BB}"/>
    <cellStyle name="60% - 강조색2 12" xfId="283" xr:uid="{00000000-0005-0000-0000-0000CC050000}"/>
    <cellStyle name="60% - 강조색2 120" xfId="2450" xr:uid="{40389AB8-EF10-49B7-9FB6-696B8C6E481E}"/>
    <cellStyle name="60% - 강조색2 121" xfId="2470" xr:uid="{AC737D47-AE1F-4DBB-B0C9-7CDC5637001E}"/>
    <cellStyle name="60% - 강조색2 122" xfId="2490" xr:uid="{9F5D65A9-4EAD-4B64-A2B5-5356F8F451C9}"/>
    <cellStyle name="60% - 강조색2 123" xfId="2510" xr:uid="{AB478157-5BD0-495E-854B-24AAAE9BB981}"/>
    <cellStyle name="60% - 강조색2 124" xfId="2530" xr:uid="{34CFE2E5-ECFC-4768-9EDD-246C48214DA3}"/>
    <cellStyle name="60% - 강조색2 125" xfId="2550" xr:uid="{1B8BD637-3901-4427-BF79-C1C5EFF0BEE8}"/>
    <cellStyle name="60% - 강조색2 126" xfId="2570" xr:uid="{6EA429AC-3126-4500-92DF-7D88615B32A0}"/>
    <cellStyle name="60% - 강조색2 127" xfId="2590" xr:uid="{033AFD9E-B175-47DD-9A08-D2CE7CE16552}"/>
    <cellStyle name="60% - 강조색2 128" xfId="2610" xr:uid="{3E69EEDD-E51C-431C-B0B5-7F2024B0D2DE}"/>
    <cellStyle name="60% - 강조색2 129" xfId="2630" xr:uid="{4A4828E9-3241-4A62-A406-66764FB09807}"/>
    <cellStyle name="60% - 강조색2 13" xfId="303" xr:uid="{00000000-0005-0000-0000-0000CD050000}"/>
    <cellStyle name="60% - 강조색2 130" xfId="2650" xr:uid="{99AA594A-09B2-4A7F-9CAA-B261BF89538C}"/>
    <cellStyle name="60% - 강조색2 131" xfId="2670" xr:uid="{B2E20126-4ABA-4393-AD9B-0E9439ADADEE}"/>
    <cellStyle name="60% - 강조색2 132" xfId="2690" xr:uid="{33EE872B-CC6C-4495-A0DF-57D29AD68F09}"/>
    <cellStyle name="60% - 강조색2 133" xfId="2710" xr:uid="{1862F68D-47D7-4862-8F56-D9CD7CC9AFFE}"/>
    <cellStyle name="60% - 강조색2 14" xfId="323" xr:uid="{00000000-0005-0000-0000-0000CE050000}"/>
    <cellStyle name="60% - 강조색2 15" xfId="343" xr:uid="{00000000-0005-0000-0000-0000CF050000}"/>
    <cellStyle name="60% - 강조색2 16" xfId="363" xr:uid="{00000000-0005-0000-0000-0000D0050000}"/>
    <cellStyle name="60% - 강조색2 17" xfId="383" xr:uid="{00000000-0005-0000-0000-0000D1050000}"/>
    <cellStyle name="60% - 강조색2 18" xfId="403" xr:uid="{00000000-0005-0000-0000-0000D2050000}"/>
    <cellStyle name="60% - 강조색2 19" xfId="423" xr:uid="{00000000-0005-0000-0000-0000D3050000}"/>
    <cellStyle name="60% - 강조색2 2" xfId="79" xr:uid="{00000000-0005-0000-0000-0000D4050000}"/>
    <cellStyle name="60% - 강조색2 20" xfId="443" xr:uid="{00000000-0005-0000-0000-0000D5050000}"/>
    <cellStyle name="60% - 강조색2 21" xfId="463" xr:uid="{00000000-0005-0000-0000-0000D6050000}"/>
    <cellStyle name="60% - 강조색2 22" xfId="483" xr:uid="{00000000-0005-0000-0000-0000D7050000}"/>
    <cellStyle name="60% - 강조색2 23" xfId="503" xr:uid="{00000000-0005-0000-0000-0000D8050000}"/>
    <cellStyle name="60% - 강조색2 24" xfId="523" xr:uid="{00000000-0005-0000-0000-0000D9050000}"/>
    <cellStyle name="60% - 강조색2 25" xfId="543" xr:uid="{00000000-0005-0000-0000-0000DA050000}"/>
    <cellStyle name="60% - 강조색2 26" xfId="563" xr:uid="{00000000-0005-0000-0000-0000DB050000}"/>
    <cellStyle name="60% - 강조색2 27" xfId="583" xr:uid="{00000000-0005-0000-0000-0000DC050000}"/>
    <cellStyle name="60% - 강조색2 28" xfId="603" xr:uid="{00000000-0005-0000-0000-0000DD050000}"/>
    <cellStyle name="60% - 강조색2 29" xfId="623" xr:uid="{00000000-0005-0000-0000-0000DE050000}"/>
    <cellStyle name="60% - 강조색2 3" xfId="103" xr:uid="{00000000-0005-0000-0000-0000DF050000}"/>
    <cellStyle name="60% - 강조색2 30" xfId="643" xr:uid="{00000000-0005-0000-0000-0000E0050000}"/>
    <cellStyle name="60% - 강조색2 31" xfId="663" xr:uid="{00000000-0005-0000-0000-0000E1050000}"/>
    <cellStyle name="60% - 강조색2 32" xfId="683" xr:uid="{00000000-0005-0000-0000-0000E2050000}"/>
    <cellStyle name="60% - 강조색2 33" xfId="703" xr:uid="{00000000-0005-0000-0000-0000E3050000}"/>
    <cellStyle name="60% - 강조색2 34" xfId="723" xr:uid="{00000000-0005-0000-0000-0000E4050000}"/>
    <cellStyle name="60% - 강조색2 35" xfId="743" xr:uid="{00000000-0005-0000-0000-0000E5050000}"/>
    <cellStyle name="60% - 강조색2 36" xfId="763" xr:uid="{00000000-0005-0000-0000-0000E6050000}"/>
    <cellStyle name="60% - 강조색2 37" xfId="783" xr:uid="{00000000-0005-0000-0000-0000E7050000}"/>
    <cellStyle name="60% - 강조색2 38" xfId="803" xr:uid="{00000000-0005-0000-0000-0000E8050000}"/>
    <cellStyle name="60% - 강조색2 39" xfId="823" xr:uid="{00000000-0005-0000-0000-0000E9050000}"/>
    <cellStyle name="60% - 강조색2 4" xfId="123" xr:uid="{00000000-0005-0000-0000-0000EA050000}"/>
    <cellStyle name="60% - 강조색2 40" xfId="843" xr:uid="{00000000-0005-0000-0000-0000EB050000}"/>
    <cellStyle name="60% - 강조색2 41" xfId="863" xr:uid="{00000000-0005-0000-0000-0000EC050000}"/>
    <cellStyle name="60% - 강조색2 42" xfId="883" xr:uid="{00000000-0005-0000-0000-0000ED050000}"/>
    <cellStyle name="60% - 강조색2 43" xfId="903" xr:uid="{00000000-0005-0000-0000-0000EE050000}"/>
    <cellStyle name="60% - 강조색2 44" xfId="923" xr:uid="{00000000-0005-0000-0000-0000EF050000}"/>
    <cellStyle name="60% - 강조색2 45" xfId="943" xr:uid="{00000000-0005-0000-0000-0000F0050000}"/>
    <cellStyle name="60% - 강조색2 46" xfId="963" xr:uid="{00000000-0005-0000-0000-0000F1050000}"/>
    <cellStyle name="60% - 강조색2 47" xfId="983" xr:uid="{00000000-0005-0000-0000-0000F2050000}"/>
    <cellStyle name="60% - 강조색2 48" xfId="1003" xr:uid="{00000000-0005-0000-0000-0000F3050000}"/>
    <cellStyle name="60% - 강조색2 49" xfId="1023" xr:uid="{00000000-0005-0000-0000-0000F4050000}"/>
    <cellStyle name="60% - 강조색2 5" xfId="143" xr:uid="{00000000-0005-0000-0000-0000F5050000}"/>
    <cellStyle name="60% - 강조색2 50" xfId="1043" xr:uid="{00000000-0005-0000-0000-0000F6050000}"/>
    <cellStyle name="60% - 강조색2 51" xfId="1063" xr:uid="{00000000-0005-0000-0000-0000F7050000}"/>
    <cellStyle name="60% - 강조색2 52" xfId="1083" xr:uid="{00000000-0005-0000-0000-0000F8050000}"/>
    <cellStyle name="60% - 강조색2 53" xfId="1103" xr:uid="{00000000-0005-0000-0000-0000F9050000}"/>
    <cellStyle name="60% - 강조색2 54" xfId="1123" xr:uid="{00000000-0005-0000-0000-0000FA050000}"/>
    <cellStyle name="60% - 강조색2 55" xfId="1143" xr:uid="{00000000-0005-0000-0000-0000FB050000}"/>
    <cellStyle name="60% - 강조색2 56" xfId="1163" xr:uid="{00000000-0005-0000-0000-0000FC050000}"/>
    <cellStyle name="60% - 강조색2 57" xfId="1183" xr:uid="{00000000-0005-0000-0000-0000FD050000}"/>
    <cellStyle name="60% - 강조색2 58" xfId="1203" xr:uid="{00000000-0005-0000-0000-0000FE050000}"/>
    <cellStyle name="60% - 강조색2 59" xfId="1223" xr:uid="{00000000-0005-0000-0000-0000FF050000}"/>
    <cellStyle name="60% - 강조색2 6" xfId="163" xr:uid="{00000000-0005-0000-0000-000000060000}"/>
    <cellStyle name="60% - 강조색2 60" xfId="1243" xr:uid="{00000000-0005-0000-0000-000001060000}"/>
    <cellStyle name="60% - 강조색2 61" xfId="1263" xr:uid="{00000000-0005-0000-0000-000002060000}"/>
    <cellStyle name="60% - 강조색2 62" xfId="1283" xr:uid="{00000000-0005-0000-0000-000003060000}"/>
    <cellStyle name="60% - 강조색2 63" xfId="1303" xr:uid="{00000000-0005-0000-0000-000004060000}"/>
    <cellStyle name="60% - 강조색2 64" xfId="1323" xr:uid="{00000000-0005-0000-0000-000005060000}"/>
    <cellStyle name="60% - 강조색2 65" xfId="1343" xr:uid="{00000000-0005-0000-0000-000006060000}"/>
    <cellStyle name="60% - 강조색2 66" xfId="1363" xr:uid="{00000000-0005-0000-0000-000007060000}"/>
    <cellStyle name="60% - 강조색2 67" xfId="1383" xr:uid="{00000000-0005-0000-0000-000008060000}"/>
    <cellStyle name="60% - 강조색2 68" xfId="1403" xr:uid="{00000000-0005-0000-0000-000009060000}"/>
    <cellStyle name="60% - 강조색2 69" xfId="1423" xr:uid="{00000000-0005-0000-0000-00000A060000}"/>
    <cellStyle name="60% - 강조색2 7" xfId="183" xr:uid="{00000000-0005-0000-0000-00000B060000}"/>
    <cellStyle name="60% - 강조색2 70" xfId="1443" xr:uid="{00000000-0005-0000-0000-00000C060000}"/>
    <cellStyle name="60% - 강조색2 71" xfId="1463" xr:uid="{00000000-0005-0000-0000-00000D060000}"/>
    <cellStyle name="60% - 강조색2 72" xfId="1483" xr:uid="{00000000-0005-0000-0000-00000E060000}"/>
    <cellStyle name="60% - 강조색2 73" xfId="1503" xr:uid="{00000000-0005-0000-0000-00000F060000}"/>
    <cellStyle name="60% - 강조색2 74" xfId="1523" xr:uid="{00000000-0005-0000-0000-000010060000}"/>
    <cellStyle name="60% - 강조색2 75" xfId="1543" xr:uid="{00000000-0005-0000-0000-000011060000}"/>
    <cellStyle name="60% - 강조색2 76" xfId="1563" xr:uid="{00000000-0005-0000-0000-000012060000}"/>
    <cellStyle name="60% - 강조색2 77" xfId="1583" xr:uid="{00000000-0005-0000-0000-000013060000}"/>
    <cellStyle name="60% - 강조색2 78" xfId="1603" xr:uid="{00000000-0005-0000-0000-000014060000}"/>
    <cellStyle name="60% - 강조색2 79" xfId="1623" xr:uid="{00000000-0005-0000-0000-000015060000}"/>
    <cellStyle name="60% - 강조색2 8" xfId="203" xr:uid="{00000000-0005-0000-0000-000016060000}"/>
    <cellStyle name="60% - 강조색2 80" xfId="1643" xr:uid="{00000000-0005-0000-0000-000017060000}"/>
    <cellStyle name="60% - 강조색2 81" xfId="1663" xr:uid="{00000000-0005-0000-0000-000018060000}"/>
    <cellStyle name="60% - 강조색2 82" xfId="1683" xr:uid="{00000000-0005-0000-0000-000019060000}"/>
    <cellStyle name="60% - 강조색2 83" xfId="1703" xr:uid="{00000000-0005-0000-0000-00001A060000}"/>
    <cellStyle name="60% - 강조색2 84" xfId="1723" xr:uid="{00000000-0005-0000-0000-00001B060000}"/>
    <cellStyle name="60% - 강조색2 85" xfId="1743" xr:uid="{00000000-0005-0000-0000-00001C060000}"/>
    <cellStyle name="60% - 강조색2 86" xfId="1763" xr:uid="{00000000-0005-0000-0000-00001D060000}"/>
    <cellStyle name="60% - 강조색2 87" xfId="1783" xr:uid="{00000000-0005-0000-0000-00001E060000}"/>
    <cellStyle name="60% - 강조색2 88" xfId="1803" xr:uid="{00000000-0005-0000-0000-00001F060000}"/>
    <cellStyle name="60% - 강조색2 89" xfId="1823" xr:uid="{00000000-0005-0000-0000-000020060000}"/>
    <cellStyle name="60% - 강조색2 9" xfId="223" xr:uid="{00000000-0005-0000-0000-000021060000}"/>
    <cellStyle name="60% - 강조색2 90" xfId="1843" xr:uid="{00000000-0005-0000-0000-000022060000}"/>
    <cellStyle name="60% - 강조색2 91" xfId="1863" xr:uid="{00000000-0005-0000-0000-000023060000}"/>
    <cellStyle name="60% - 강조색2 92" xfId="1883" xr:uid="{00000000-0005-0000-0000-000024060000}"/>
    <cellStyle name="60% - 강조색2 93" xfId="1903" xr:uid="{00000000-0005-0000-0000-000025060000}"/>
    <cellStyle name="60% - 강조색2 94" xfId="1923" xr:uid="{00000000-0005-0000-0000-000026060000}"/>
    <cellStyle name="60% - 강조색2 95" xfId="1943" xr:uid="{00000000-0005-0000-0000-000027060000}"/>
    <cellStyle name="60% - 강조색2 96" xfId="1963" xr:uid="{00000000-0005-0000-0000-000028060000}"/>
    <cellStyle name="60% - 강조색2 97" xfId="1983" xr:uid="{00000000-0005-0000-0000-000029060000}"/>
    <cellStyle name="60% - 강조색2 98" xfId="2003" xr:uid="{00000000-0005-0000-0000-00002A060000}"/>
    <cellStyle name="60% - 강조색2 99" xfId="2023" xr:uid="{00000000-0005-0000-0000-00002B060000}"/>
    <cellStyle name="60% - 강조색3" xfId="30" builtinId="40" customBuiltin="1"/>
    <cellStyle name="60% - 강조색3 10" xfId="246" xr:uid="{00000000-0005-0000-0000-00002D060000}"/>
    <cellStyle name="60% - 강조색3 100" xfId="2046" xr:uid="{00000000-0005-0000-0000-00002E060000}"/>
    <cellStyle name="60% - 강조색3 101" xfId="2066" xr:uid="{00000000-0005-0000-0000-00002F060000}"/>
    <cellStyle name="60% - 강조색3 102" xfId="2086" xr:uid="{00000000-0005-0000-0000-000030060000}"/>
    <cellStyle name="60% - 강조색3 103" xfId="2106" xr:uid="{00000000-0005-0000-0000-000031060000}"/>
    <cellStyle name="60% - 강조색3 104" xfId="2126" xr:uid="{00000000-0005-0000-0000-000032060000}"/>
    <cellStyle name="60% - 강조색3 105" xfId="2146" xr:uid="{00000000-0005-0000-0000-000033060000}"/>
    <cellStyle name="60% - 강조색3 106" xfId="2166" xr:uid="{00000000-0005-0000-0000-000034060000}"/>
    <cellStyle name="60% - 강조색3 107" xfId="2186" xr:uid="{00000000-0005-0000-0000-000035060000}"/>
    <cellStyle name="60% - 강조색3 108" xfId="2206" xr:uid="{00000000-0005-0000-0000-000036060000}"/>
    <cellStyle name="60% - 강조색3 109" xfId="2226" xr:uid="{00000000-0005-0000-0000-000037060000}"/>
    <cellStyle name="60% - 강조색3 11" xfId="266" xr:uid="{00000000-0005-0000-0000-000038060000}"/>
    <cellStyle name="60% - 강조색3 110" xfId="2249" xr:uid="{00000000-0005-0000-0000-000039060000}"/>
    <cellStyle name="60% - 강조색3 111" xfId="2271" xr:uid="{00000000-0005-0000-0000-00003A060000}"/>
    <cellStyle name="60% - 강조색3 112" xfId="2293" xr:uid="{00000000-0005-0000-0000-00003B060000}"/>
    <cellStyle name="60% - 강조색3 113" xfId="2313" xr:uid="{0209DEF7-963B-4CF8-8B33-71391D6562CF}"/>
    <cellStyle name="60% - 강조색3 114" xfId="2333" xr:uid="{5D0F2536-A821-481C-959A-20EF25804FA0}"/>
    <cellStyle name="60% - 강조색3 115" xfId="2353" xr:uid="{9418AC2E-5331-4E16-8B31-F5256DE98191}"/>
    <cellStyle name="60% - 강조색3 116" xfId="2373" xr:uid="{C05BC5D4-3041-4DA3-B02F-A503712522B9}"/>
    <cellStyle name="60% - 강조색3 117" xfId="2393" xr:uid="{151928F4-F9A0-4602-BB10-C3FAA529EC0C}"/>
    <cellStyle name="60% - 강조색3 118" xfId="2413" xr:uid="{46753880-C4DF-41BB-B69A-FF1F613CDF98}"/>
    <cellStyle name="60% - 강조색3 119" xfId="2433" xr:uid="{4E1C8A72-275A-4F36-A493-EAC52572E82C}"/>
    <cellStyle name="60% - 강조색3 12" xfId="286" xr:uid="{00000000-0005-0000-0000-00003C060000}"/>
    <cellStyle name="60% - 강조색3 120" xfId="2453" xr:uid="{99DAE7CA-526B-4B45-B53D-4C840057EE1F}"/>
    <cellStyle name="60% - 강조색3 121" xfId="2473" xr:uid="{BBB02A5C-8378-4E80-B2E2-B4DBF74F4516}"/>
    <cellStyle name="60% - 강조색3 122" xfId="2493" xr:uid="{7A4C8128-758F-4FE5-882E-5E321D97D572}"/>
    <cellStyle name="60% - 강조색3 123" xfId="2513" xr:uid="{0BF6618C-F1EF-4BB6-91BF-9076A0794C0C}"/>
    <cellStyle name="60% - 강조색3 124" xfId="2533" xr:uid="{37DA2E42-1E3D-4FC1-B504-818B3CFBA52B}"/>
    <cellStyle name="60% - 강조색3 125" xfId="2553" xr:uid="{EA4213E5-8308-4F99-9A80-0302D8E46C28}"/>
    <cellStyle name="60% - 강조색3 126" xfId="2573" xr:uid="{A518B4C9-1277-4863-88D0-BA91E1E1F020}"/>
    <cellStyle name="60% - 강조색3 127" xfId="2593" xr:uid="{887DD79C-E1DF-4663-8633-4B31831097FB}"/>
    <cellStyle name="60% - 강조색3 128" xfId="2613" xr:uid="{E8C0B639-1E81-4777-A6CA-3823D5A11546}"/>
    <cellStyle name="60% - 강조색3 129" xfId="2633" xr:uid="{7DB71525-CB37-436A-90A9-4BED9801B122}"/>
    <cellStyle name="60% - 강조색3 13" xfId="306" xr:uid="{00000000-0005-0000-0000-00003D060000}"/>
    <cellStyle name="60% - 강조색3 130" xfId="2653" xr:uid="{C896F545-87F9-4B49-9E5B-E47957ADC15F}"/>
    <cellStyle name="60% - 강조색3 131" xfId="2673" xr:uid="{F5BCD77C-F61B-4D43-833C-D957794106B6}"/>
    <cellStyle name="60% - 강조색3 132" xfId="2693" xr:uid="{DD626449-480F-4CB6-B19B-B56D2DC5E766}"/>
    <cellStyle name="60% - 강조색3 133" xfId="2713" xr:uid="{14FCFD08-D23B-45A8-9283-CC6D8028207C}"/>
    <cellStyle name="60% - 강조색3 14" xfId="326" xr:uid="{00000000-0005-0000-0000-00003E060000}"/>
    <cellStyle name="60% - 강조색3 15" xfId="346" xr:uid="{00000000-0005-0000-0000-00003F060000}"/>
    <cellStyle name="60% - 강조색3 16" xfId="366" xr:uid="{00000000-0005-0000-0000-000040060000}"/>
    <cellStyle name="60% - 강조색3 17" xfId="386" xr:uid="{00000000-0005-0000-0000-000041060000}"/>
    <cellStyle name="60% - 강조색3 18" xfId="406" xr:uid="{00000000-0005-0000-0000-000042060000}"/>
    <cellStyle name="60% - 강조색3 19" xfId="426" xr:uid="{00000000-0005-0000-0000-000043060000}"/>
    <cellStyle name="60% - 강조색3 2" xfId="83" xr:uid="{00000000-0005-0000-0000-000044060000}"/>
    <cellStyle name="60% - 강조색3 20" xfId="446" xr:uid="{00000000-0005-0000-0000-000045060000}"/>
    <cellStyle name="60% - 강조색3 21" xfId="466" xr:uid="{00000000-0005-0000-0000-000046060000}"/>
    <cellStyle name="60% - 강조색3 22" xfId="486" xr:uid="{00000000-0005-0000-0000-000047060000}"/>
    <cellStyle name="60% - 강조색3 23" xfId="506" xr:uid="{00000000-0005-0000-0000-000048060000}"/>
    <cellStyle name="60% - 강조색3 24" xfId="526" xr:uid="{00000000-0005-0000-0000-000049060000}"/>
    <cellStyle name="60% - 강조색3 25" xfId="546" xr:uid="{00000000-0005-0000-0000-00004A060000}"/>
    <cellStyle name="60% - 강조색3 26" xfId="566" xr:uid="{00000000-0005-0000-0000-00004B060000}"/>
    <cellStyle name="60% - 강조색3 27" xfId="586" xr:uid="{00000000-0005-0000-0000-00004C060000}"/>
    <cellStyle name="60% - 강조색3 28" xfId="606" xr:uid="{00000000-0005-0000-0000-00004D060000}"/>
    <cellStyle name="60% - 강조색3 29" xfId="626" xr:uid="{00000000-0005-0000-0000-00004E060000}"/>
    <cellStyle name="60% - 강조색3 3" xfId="106" xr:uid="{00000000-0005-0000-0000-00004F060000}"/>
    <cellStyle name="60% - 강조색3 30" xfId="646" xr:uid="{00000000-0005-0000-0000-000050060000}"/>
    <cellStyle name="60% - 강조색3 31" xfId="666" xr:uid="{00000000-0005-0000-0000-000051060000}"/>
    <cellStyle name="60% - 강조색3 32" xfId="686" xr:uid="{00000000-0005-0000-0000-000052060000}"/>
    <cellStyle name="60% - 강조색3 33" xfId="706" xr:uid="{00000000-0005-0000-0000-000053060000}"/>
    <cellStyle name="60% - 강조색3 34" xfId="726" xr:uid="{00000000-0005-0000-0000-000054060000}"/>
    <cellStyle name="60% - 강조색3 35" xfId="746" xr:uid="{00000000-0005-0000-0000-000055060000}"/>
    <cellStyle name="60% - 강조색3 36" xfId="766" xr:uid="{00000000-0005-0000-0000-000056060000}"/>
    <cellStyle name="60% - 강조색3 37" xfId="786" xr:uid="{00000000-0005-0000-0000-000057060000}"/>
    <cellStyle name="60% - 강조색3 38" xfId="806" xr:uid="{00000000-0005-0000-0000-000058060000}"/>
    <cellStyle name="60% - 강조색3 39" xfId="826" xr:uid="{00000000-0005-0000-0000-000059060000}"/>
    <cellStyle name="60% - 강조색3 4" xfId="126" xr:uid="{00000000-0005-0000-0000-00005A060000}"/>
    <cellStyle name="60% - 강조색3 40" xfId="846" xr:uid="{00000000-0005-0000-0000-00005B060000}"/>
    <cellStyle name="60% - 강조색3 41" xfId="866" xr:uid="{00000000-0005-0000-0000-00005C060000}"/>
    <cellStyle name="60% - 강조색3 42" xfId="886" xr:uid="{00000000-0005-0000-0000-00005D060000}"/>
    <cellStyle name="60% - 강조색3 43" xfId="906" xr:uid="{00000000-0005-0000-0000-00005E060000}"/>
    <cellStyle name="60% - 강조색3 44" xfId="926" xr:uid="{00000000-0005-0000-0000-00005F060000}"/>
    <cellStyle name="60% - 강조색3 45" xfId="946" xr:uid="{00000000-0005-0000-0000-000060060000}"/>
    <cellStyle name="60% - 강조색3 46" xfId="966" xr:uid="{00000000-0005-0000-0000-000061060000}"/>
    <cellStyle name="60% - 강조색3 47" xfId="986" xr:uid="{00000000-0005-0000-0000-000062060000}"/>
    <cellStyle name="60% - 강조색3 48" xfId="1006" xr:uid="{00000000-0005-0000-0000-000063060000}"/>
    <cellStyle name="60% - 강조색3 49" xfId="1026" xr:uid="{00000000-0005-0000-0000-000064060000}"/>
    <cellStyle name="60% - 강조색3 5" xfId="146" xr:uid="{00000000-0005-0000-0000-000065060000}"/>
    <cellStyle name="60% - 강조색3 50" xfId="1046" xr:uid="{00000000-0005-0000-0000-000066060000}"/>
    <cellStyle name="60% - 강조색3 51" xfId="1066" xr:uid="{00000000-0005-0000-0000-000067060000}"/>
    <cellStyle name="60% - 강조색3 52" xfId="1086" xr:uid="{00000000-0005-0000-0000-000068060000}"/>
    <cellStyle name="60% - 강조색3 53" xfId="1106" xr:uid="{00000000-0005-0000-0000-000069060000}"/>
    <cellStyle name="60% - 강조색3 54" xfId="1126" xr:uid="{00000000-0005-0000-0000-00006A060000}"/>
    <cellStyle name="60% - 강조색3 55" xfId="1146" xr:uid="{00000000-0005-0000-0000-00006B060000}"/>
    <cellStyle name="60% - 강조색3 56" xfId="1166" xr:uid="{00000000-0005-0000-0000-00006C060000}"/>
    <cellStyle name="60% - 강조색3 57" xfId="1186" xr:uid="{00000000-0005-0000-0000-00006D060000}"/>
    <cellStyle name="60% - 강조색3 58" xfId="1206" xr:uid="{00000000-0005-0000-0000-00006E060000}"/>
    <cellStyle name="60% - 강조색3 59" xfId="1226" xr:uid="{00000000-0005-0000-0000-00006F060000}"/>
    <cellStyle name="60% - 강조색3 6" xfId="166" xr:uid="{00000000-0005-0000-0000-000070060000}"/>
    <cellStyle name="60% - 강조색3 60" xfId="1246" xr:uid="{00000000-0005-0000-0000-000071060000}"/>
    <cellStyle name="60% - 강조색3 61" xfId="1266" xr:uid="{00000000-0005-0000-0000-000072060000}"/>
    <cellStyle name="60% - 강조색3 62" xfId="1286" xr:uid="{00000000-0005-0000-0000-000073060000}"/>
    <cellStyle name="60% - 강조색3 63" xfId="1306" xr:uid="{00000000-0005-0000-0000-000074060000}"/>
    <cellStyle name="60% - 강조색3 64" xfId="1326" xr:uid="{00000000-0005-0000-0000-000075060000}"/>
    <cellStyle name="60% - 강조색3 65" xfId="1346" xr:uid="{00000000-0005-0000-0000-000076060000}"/>
    <cellStyle name="60% - 강조색3 66" xfId="1366" xr:uid="{00000000-0005-0000-0000-000077060000}"/>
    <cellStyle name="60% - 강조색3 67" xfId="1386" xr:uid="{00000000-0005-0000-0000-000078060000}"/>
    <cellStyle name="60% - 강조색3 68" xfId="1406" xr:uid="{00000000-0005-0000-0000-000079060000}"/>
    <cellStyle name="60% - 강조색3 69" xfId="1426" xr:uid="{00000000-0005-0000-0000-00007A060000}"/>
    <cellStyle name="60% - 강조색3 7" xfId="186" xr:uid="{00000000-0005-0000-0000-00007B060000}"/>
    <cellStyle name="60% - 강조색3 70" xfId="1446" xr:uid="{00000000-0005-0000-0000-00007C060000}"/>
    <cellStyle name="60% - 강조색3 71" xfId="1466" xr:uid="{00000000-0005-0000-0000-00007D060000}"/>
    <cellStyle name="60% - 강조색3 72" xfId="1486" xr:uid="{00000000-0005-0000-0000-00007E060000}"/>
    <cellStyle name="60% - 강조색3 73" xfId="1506" xr:uid="{00000000-0005-0000-0000-00007F060000}"/>
    <cellStyle name="60% - 강조색3 74" xfId="1526" xr:uid="{00000000-0005-0000-0000-000080060000}"/>
    <cellStyle name="60% - 강조색3 75" xfId="1546" xr:uid="{00000000-0005-0000-0000-000081060000}"/>
    <cellStyle name="60% - 강조색3 76" xfId="1566" xr:uid="{00000000-0005-0000-0000-000082060000}"/>
    <cellStyle name="60% - 강조색3 77" xfId="1586" xr:uid="{00000000-0005-0000-0000-000083060000}"/>
    <cellStyle name="60% - 강조색3 78" xfId="1606" xr:uid="{00000000-0005-0000-0000-000084060000}"/>
    <cellStyle name="60% - 강조색3 79" xfId="1626" xr:uid="{00000000-0005-0000-0000-000085060000}"/>
    <cellStyle name="60% - 강조색3 8" xfId="206" xr:uid="{00000000-0005-0000-0000-000086060000}"/>
    <cellStyle name="60% - 강조색3 80" xfId="1646" xr:uid="{00000000-0005-0000-0000-000087060000}"/>
    <cellStyle name="60% - 강조색3 81" xfId="1666" xr:uid="{00000000-0005-0000-0000-000088060000}"/>
    <cellStyle name="60% - 강조색3 82" xfId="1686" xr:uid="{00000000-0005-0000-0000-000089060000}"/>
    <cellStyle name="60% - 강조색3 83" xfId="1706" xr:uid="{00000000-0005-0000-0000-00008A060000}"/>
    <cellStyle name="60% - 강조색3 84" xfId="1726" xr:uid="{00000000-0005-0000-0000-00008B060000}"/>
    <cellStyle name="60% - 강조색3 85" xfId="1746" xr:uid="{00000000-0005-0000-0000-00008C060000}"/>
    <cellStyle name="60% - 강조색3 86" xfId="1766" xr:uid="{00000000-0005-0000-0000-00008D060000}"/>
    <cellStyle name="60% - 강조색3 87" xfId="1786" xr:uid="{00000000-0005-0000-0000-00008E060000}"/>
    <cellStyle name="60% - 강조색3 88" xfId="1806" xr:uid="{00000000-0005-0000-0000-00008F060000}"/>
    <cellStyle name="60% - 강조색3 89" xfId="1826" xr:uid="{00000000-0005-0000-0000-000090060000}"/>
    <cellStyle name="60% - 강조색3 9" xfId="226" xr:uid="{00000000-0005-0000-0000-000091060000}"/>
    <cellStyle name="60% - 강조색3 90" xfId="1846" xr:uid="{00000000-0005-0000-0000-000092060000}"/>
    <cellStyle name="60% - 강조색3 91" xfId="1866" xr:uid="{00000000-0005-0000-0000-000093060000}"/>
    <cellStyle name="60% - 강조색3 92" xfId="1886" xr:uid="{00000000-0005-0000-0000-000094060000}"/>
    <cellStyle name="60% - 강조색3 93" xfId="1906" xr:uid="{00000000-0005-0000-0000-000095060000}"/>
    <cellStyle name="60% - 강조색3 94" xfId="1926" xr:uid="{00000000-0005-0000-0000-000096060000}"/>
    <cellStyle name="60% - 강조색3 95" xfId="1946" xr:uid="{00000000-0005-0000-0000-000097060000}"/>
    <cellStyle name="60% - 강조색3 96" xfId="1966" xr:uid="{00000000-0005-0000-0000-000098060000}"/>
    <cellStyle name="60% - 강조색3 97" xfId="1986" xr:uid="{00000000-0005-0000-0000-000099060000}"/>
    <cellStyle name="60% - 강조색3 98" xfId="2006" xr:uid="{00000000-0005-0000-0000-00009A060000}"/>
    <cellStyle name="60% - 강조색3 99" xfId="2026" xr:uid="{00000000-0005-0000-0000-00009B060000}"/>
    <cellStyle name="60% - 강조색4" xfId="34" builtinId="44" customBuiltin="1"/>
    <cellStyle name="60% - 강조색4 10" xfId="249" xr:uid="{00000000-0005-0000-0000-00009D060000}"/>
    <cellStyle name="60% - 강조색4 100" xfId="2049" xr:uid="{00000000-0005-0000-0000-00009E060000}"/>
    <cellStyle name="60% - 강조색4 101" xfId="2069" xr:uid="{00000000-0005-0000-0000-00009F060000}"/>
    <cellStyle name="60% - 강조색4 102" xfId="2089" xr:uid="{00000000-0005-0000-0000-0000A0060000}"/>
    <cellStyle name="60% - 강조색4 103" xfId="2109" xr:uid="{00000000-0005-0000-0000-0000A1060000}"/>
    <cellStyle name="60% - 강조색4 104" xfId="2129" xr:uid="{00000000-0005-0000-0000-0000A2060000}"/>
    <cellStyle name="60% - 강조색4 105" xfId="2149" xr:uid="{00000000-0005-0000-0000-0000A3060000}"/>
    <cellStyle name="60% - 강조색4 106" xfId="2169" xr:uid="{00000000-0005-0000-0000-0000A4060000}"/>
    <cellStyle name="60% - 강조색4 107" xfId="2189" xr:uid="{00000000-0005-0000-0000-0000A5060000}"/>
    <cellStyle name="60% - 강조색4 108" xfId="2209" xr:uid="{00000000-0005-0000-0000-0000A6060000}"/>
    <cellStyle name="60% - 강조색4 109" xfId="2229" xr:uid="{00000000-0005-0000-0000-0000A7060000}"/>
    <cellStyle name="60% - 강조색4 11" xfId="269" xr:uid="{00000000-0005-0000-0000-0000A8060000}"/>
    <cellStyle name="60% - 강조색4 110" xfId="2252" xr:uid="{00000000-0005-0000-0000-0000A9060000}"/>
    <cellStyle name="60% - 강조색4 111" xfId="2274" xr:uid="{00000000-0005-0000-0000-0000AA060000}"/>
    <cellStyle name="60% - 강조색4 112" xfId="2296" xr:uid="{00000000-0005-0000-0000-0000AB060000}"/>
    <cellStyle name="60% - 강조색4 113" xfId="2316" xr:uid="{D926F10D-0915-4961-AC85-F15806CC455D}"/>
    <cellStyle name="60% - 강조색4 114" xfId="2336" xr:uid="{CDAE72B9-F53E-4113-8AAC-77529F21A0BC}"/>
    <cellStyle name="60% - 강조색4 115" xfId="2356" xr:uid="{8BCDD20E-7236-4054-94D0-F252361A65A8}"/>
    <cellStyle name="60% - 강조색4 116" xfId="2376" xr:uid="{3A5D3441-22B8-4B1D-AD08-99CD2815BDCA}"/>
    <cellStyle name="60% - 강조색4 117" xfId="2396" xr:uid="{9D242F7E-0D01-4E1B-8AF4-CF0C23011822}"/>
    <cellStyle name="60% - 강조색4 118" xfId="2416" xr:uid="{25955A76-0512-41B3-B0AB-A2226E58967B}"/>
    <cellStyle name="60% - 강조색4 119" xfId="2436" xr:uid="{B77DBCB5-1F26-490B-90D4-CA0FF11E319C}"/>
    <cellStyle name="60% - 강조색4 12" xfId="289" xr:uid="{00000000-0005-0000-0000-0000AC060000}"/>
    <cellStyle name="60% - 강조색4 120" xfId="2456" xr:uid="{00D663EB-73C3-4390-946D-2B6F54329FC4}"/>
    <cellStyle name="60% - 강조색4 121" xfId="2476" xr:uid="{E303997A-03C9-4746-B5EB-CAE12A333ED7}"/>
    <cellStyle name="60% - 강조색4 122" xfId="2496" xr:uid="{9FB26C25-E439-480D-BAE9-2595E17FE72B}"/>
    <cellStyle name="60% - 강조색4 123" xfId="2516" xr:uid="{0EA71113-2680-4489-A38E-1D00ED7570E1}"/>
    <cellStyle name="60% - 강조색4 124" xfId="2536" xr:uid="{84BAEBBF-8544-4F78-9A73-4F5B232AF3DA}"/>
    <cellStyle name="60% - 강조색4 125" xfId="2556" xr:uid="{3D2760C3-EB9C-4B57-89EC-4AE6A03993EB}"/>
    <cellStyle name="60% - 강조색4 126" xfId="2576" xr:uid="{0A0A0DF6-BCBB-4EA3-BD1C-93186D34043A}"/>
    <cellStyle name="60% - 강조색4 127" xfId="2596" xr:uid="{CB97B083-38B3-4A5F-AEA7-CFA92E6C7DD0}"/>
    <cellStyle name="60% - 강조색4 128" xfId="2616" xr:uid="{8C3D3C76-A006-4D8E-AAA5-6EBD1722B5D8}"/>
    <cellStyle name="60% - 강조색4 129" xfId="2636" xr:uid="{83774672-1916-481B-8D97-9838DEC1A8F3}"/>
    <cellStyle name="60% - 강조색4 13" xfId="309" xr:uid="{00000000-0005-0000-0000-0000AD060000}"/>
    <cellStyle name="60% - 강조색4 130" xfId="2656" xr:uid="{4CC17D9A-B95B-4ABD-AB37-F9321DA9D817}"/>
    <cellStyle name="60% - 강조색4 131" xfId="2676" xr:uid="{201117F0-3EA7-4285-AB4B-744228F22DAC}"/>
    <cellStyle name="60% - 강조색4 132" xfId="2696" xr:uid="{DFA9FF41-D787-4AB7-9E92-FFA19D76BD04}"/>
    <cellStyle name="60% - 강조색4 133" xfId="2716" xr:uid="{F2F56CFD-7188-4F3A-8ED1-8C6984F4BB99}"/>
    <cellStyle name="60% - 강조색4 14" xfId="329" xr:uid="{00000000-0005-0000-0000-0000AE060000}"/>
    <cellStyle name="60% - 강조색4 15" xfId="349" xr:uid="{00000000-0005-0000-0000-0000AF060000}"/>
    <cellStyle name="60% - 강조색4 16" xfId="369" xr:uid="{00000000-0005-0000-0000-0000B0060000}"/>
    <cellStyle name="60% - 강조색4 17" xfId="389" xr:uid="{00000000-0005-0000-0000-0000B1060000}"/>
    <cellStyle name="60% - 강조색4 18" xfId="409" xr:uid="{00000000-0005-0000-0000-0000B2060000}"/>
    <cellStyle name="60% - 강조색4 19" xfId="429" xr:uid="{00000000-0005-0000-0000-0000B3060000}"/>
    <cellStyle name="60% - 강조색4 2" xfId="87" xr:uid="{00000000-0005-0000-0000-0000B4060000}"/>
    <cellStyle name="60% - 강조색4 20" xfId="449" xr:uid="{00000000-0005-0000-0000-0000B5060000}"/>
    <cellStyle name="60% - 강조색4 21" xfId="469" xr:uid="{00000000-0005-0000-0000-0000B6060000}"/>
    <cellStyle name="60% - 강조색4 22" xfId="489" xr:uid="{00000000-0005-0000-0000-0000B7060000}"/>
    <cellStyle name="60% - 강조색4 23" xfId="509" xr:uid="{00000000-0005-0000-0000-0000B8060000}"/>
    <cellStyle name="60% - 강조색4 24" xfId="529" xr:uid="{00000000-0005-0000-0000-0000B9060000}"/>
    <cellStyle name="60% - 강조색4 25" xfId="549" xr:uid="{00000000-0005-0000-0000-0000BA060000}"/>
    <cellStyle name="60% - 강조색4 26" xfId="569" xr:uid="{00000000-0005-0000-0000-0000BB060000}"/>
    <cellStyle name="60% - 강조색4 27" xfId="589" xr:uid="{00000000-0005-0000-0000-0000BC060000}"/>
    <cellStyle name="60% - 강조색4 28" xfId="609" xr:uid="{00000000-0005-0000-0000-0000BD060000}"/>
    <cellStyle name="60% - 강조색4 29" xfId="629" xr:uid="{00000000-0005-0000-0000-0000BE060000}"/>
    <cellStyle name="60% - 강조색4 3" xfId="109" xr:uid="{00000000-0005-0000-0000-0000BF060000}"/>
    <cellStyle name="60% - 강조색4 30" xfId="649" xr:uid="{00000000-0005-0000-0000-0000C0060000}"/>
    <cellStyle name="60% - 강조색4 31" xfId="669" xr:uid="{00000000-0005-0000-0000-0000C1060000}"/>
    <cellStyle name="60% - 강조색4 32" xfId="689" xr:uid="{00000000-0005-0000-0000-0000C2060000}"/>
    <cellStyle name="60% - 강조색4 33" xfId="709" xr:uid="{00000000-0005-0000-0000-0000C3060000}"/>
    <cellStyle name="60% - 강조색4 34" xfId="729" xr:uid="{00000000-0005-0000-0000-0000C4060000}"/>
    <cellStyle name="60% - 강조색4 35" xfId="749" xr:uid="{00000000-0005-0000-0000-0000C5060000}"/>
    <cellStyle name="60% - 강조색4 36" xfId="769" xr:uid="{00000000-0005-0000-0000-0000C6060000}"/>
    <cellStyle name="60% - 강조색4 37" xfId="789" xr:uid="{00000000-0005-0000-0000-0000C7060000}"/>
    <cellStyle name="60% - 강조색4 38" xfId="809" xr:uid="{00000000-0005-0000-0000-0000C8060000}"/>
    <cellStyle name="60% - 강조색4 39" xfId="829" xr:uid="{00000000-0005-0000-0000-0000C9060000}"/>
    <cellStyle name="60% - 강조색4 4" xfId="129" xr:uid="{00000000-0005-0000-0000-0000CA060000}"/>
    <cellStyle name="60% - 강조색4 40" xfId="849" xr:uid="{00000000-0005-0000-0000-0000CB060000}"/>
    <cellStyle name="60% - 강조색4 41" xfId="869" xr:uid="{00000000-0005-0000-0000-0000CC060000}"/>
    <cellStyle name="60% - 강조색4 42" xfId="889" xr:uid="{00000000-0005-0000-0000-0000CD060000}"/>
    <cellStyle name="60% - 강조색4 43" xfId="909" xr:uid="{00000000-0005-0000-0000-0000CE060000}"/>
    <cellStyle name="60% - 강조색4 44" xfId="929" xr:uid="{00000000-0005-0000-0000-0000CF060000}"/>
    <cellStyle name="60% - 강조색4 45" xfId="949" xr:uid="{00000000-0005-0000-0000-0000D0060000}"/>
    <cellStyle name="60% - 강조색4 46" xfId="969" xr:uid="{00000000-0005-0000-0000-0000D1060000}"/>
    <cellStyle name="60% - 강조색4 47" xfId="989" xr:uid="{00000000-0005-0000-0000-0000D2060000}"/>
    <cellStyle name="60% - 강조색4 48" xfId="1009" xr:uid="{00000000-0005-0000-0000-0000D3060000}"/>
    <cellStyle name="60% - 강조색4 49" xfId="1029" xr:uid="{00000000-0005-0000-0000-0000D4060000}"/>
    <cellStyle name="60% - 강조색4 5" xfId="149" xr:uid="{00000000-0005-0000-0000-0000D5060000}"/>
    <cellStyle name="60% - 강조색4 50" xfId="1049" xr:uid="{00000000-0005-0000-0000-0000D6060000}"/>
    <cellStyle name="60% - 강조색4 51" xfId="1069" xr:uid="{00000000-0005-0000-0000-0000D7060000}"/>
    <cellStyle name="60% - 강조색4 52" xfId="1089" xr:uid="{00000000-0005-0000-0000-0000D8060000}"/>
    <cellStyle name="60% - 강조색4 53" xfId="1109" xr:uid="{00000000-0005-0000-0000-0000D9060000}"/>
    <cellStyle name="60% - 강조색4 54" xfId="1129" xr:uid="{00000000-0005-0000-0000-0000DA060000}"/>
    <cellStyle name="60% - 강조색4 55" xfId="1149" xr:uid="{00000000-0005-0000-0000-0000DB060000}"/>
    <cellStyle name="60% - 강조색4 56" xfId="1169" xr:uid="{00000000-0005-0000-0000-0000DC060000}"/>
    <cellStyle name="60% - 강조색4 57" xfId="1189" xr:uid="{00000000-0005-0000-0000-0000DD060000}"/>
    <cellStyle name="60% - 강조색4 58" xfId="1209" xr:uid="{00000000-0005-0000-0000-0000DE060000}"/>
    <cellStyle name="60% - 강조색4 59" xfId="1229" xr:uid="{00000000-0005-0000-0000-0000DF060000}"/>
    <cellStyle name="60% - 강조색4 6" xfId="169" xr:uid="{00000000-0005-0000-0000-0000E0060000}"/>
    <cellStyle name="60% - 강조색4 60" xfId="1249" xr:uid="{00000000-0005-0000-0000-0000E1060000}"/>
    <cellStyle name="60% - 강조색4 61" xfId="1269" xr:uid="{00000000-0005-0000-0000-0000E2060000}"/>
    <cellStyle name="60% - 강조색4 62" xfId="1289" xr:uid="{00000000-0005-0000-0000-0000E3060000}"/>
    <cellStyle name="60% - 강조색4 63" xfId="1309" xr:uid="{00000000-0005-0000-0000-0000E4060000}"/>
    <cellStyle name="60% - 강조색4 64" xfId="1329" xr:uid="{00000000-0005-0000-0000-0000E5060000}"/>
    <cellStyle name="60% - 강조색4 65" xfId="1349" xr:uid="{00000000-0005-0000-0000-0000E6060000}"/>
    <cellStyle name="60% - 강조색4 66" xfId="1369" xr:uid="{00000000-0005-0000-0000-0000E7060000}"/>
    <cellStyle name="60% - 강조색4 67" xfId="1389" xr:uid="{00000000-0005-0000-0000-0000E8060000}"/>
    <cellStyle name="60% - 강조색4 68" xfId="1409" xr:uid="{00000000-0005-0000-0000-0000E9060000}"/>
    <cellStyle name="60% - 강조색4 69" xfId="1429" xr:uid="{00000000-0005-0000-0000-0000EA060000}"/>
    <cellStyle name="60% - 강조색4 7" xfId="189" xr:uid="{00000000-0005-0000-0000-0000EB060000}"/>
    <cellStyle name="60% - 강조색4 70" xfId="1449" xr:uid="{00000000-0005-0000-0000-0000EC060000}"/>
    <cellStyle name="60% - 강조색4 71" xfId="1469" xr:uid="{00000000-0005-0000-0000-0000ED060000}"/>
    <cellStyle name="60% - 강조색4 72" xfId="1489" xr:uid="{00000000-0005-0000-0000-0000EE060000}"/>
    <cellStyle name="60% - 강조색4 73" xfId="1509" xr:uid="{00000000-0005-0000-0000-0000EF060000}"/>
    <cellStyle name="60% - 강조색4 74" xfId="1529" xr:uid="{00000000-0005-0000-0000-0000F0060000}"/>
    <cellStyle name="60% - 강조색4 75" xfId="1549" xr:uid="{00000000-0005-0000-0000-0000F1060000}"/>
    <cellStyle name="60% - 강조색4 76" xfId="1569" xr:uid="{00000000-0005-0000-0000-0000F2060000}"/>
    <cellStyle name="60% - 강조색4 77" xfId="1589" xr:uid="{00000000-0005-0000-0000-0000F3060000}"/>
    <cellStyle name="60% - 강조색4 78" xfId="1609" xr:uid="{00000000-0005-0000-0000-0000F4060000}"/>
    <cellStyle name="60% - 강조색4 79" xfId="1629" xr:uid="{00000000-0005-0000-0000-0000F5060000}"/>
    <cellStyle name="60% - 강조색4 8" xfId="209" xr:uid="{00000000-0005-0000-0000-0000F6060000}"/>
    <cellStyle name="60% - 강조색4 80" xfId="1649" xr:uid="{00000000-0005-0000-0000-0000F7060000}"/>
    <cellStyle name="60% - 강조색4 81" xfId="1669" xr:uid="{00000000-0005-0000-0000-0000F8060000}"/>
    <cellStyle name="60% - 강조색4 82" xfId="1689" xr:uid="{00000000-0005-0000-0000-0000F9060000}"/>
    <cellStyle name="60% - 강조색4 83" xfId="1709" xr:uid="{00000000-0005-0000-0000-0000FA060000}"/>
    <cellStyle name="60% - 강조색4 84" xfId="1729" xr:uid="{00000000-0005-0000-0000-0000FB060000}"/>
    <cellStyle name="60% - 강조색4 85" xfId="1749" xr:uid="{00000000-0005-0000-0000-0000FC060000}"/>
    <cellStyle name="60% - 강조색4 86" xfId="1769" xr:uid="{00000000-0005-0000-0000-0000FD060000}"/>
    <cellStyle name="60% - 강조색4 87" xfId="1789" xr:uid="{00000000-0005-0000-0000-0000FE060000}"/>
    <cellStyle name="60% - 강조색4 88" xfId="1809" xr:uid="{00000000-0005-0000-0000-0000FF060000}"/>
    <cellStyle name="60% - 강조색4 89" xfId="1829" xr:uid="{00000000-0005-0000-0000-000000070000}"/>
    <cellStyle name="60% - 강조색4 9" xfId="229" xr:uid="{00000000-0005-0000-0000-000001070000}"/>
    <cellStyle name="60% - 강조색4 90" xfId="1849" xr:uid="{00000000-0005-0000-0000-000002070000}"/>
    <cellStyle name="60% - 강조색4 91" xfId="1869" xr:uid="{00000000-0005-0000-0000-000003070000}"/>
    <cellStyle name="60% - 강조색4 92" xfId="1889" xr:uid="{00000000-0005-0000-0000-000004070000}"/>
    <cellStyle name="60% - 강조색4 93" xfId="1909" xr:uid="{00000000-0005-0000-0000-000005070000}"/>
    <cellStyle name="60% - 강조색4 94" xfId="1929" xr:uid="{00000000-0005-0000-0000-000006070000}"/>
    <cellStyle name="60% - 강조색4 95" xfId="1949" xr:uid="{00000000-0005-0000-0000-000007070000}"/>
    <cellStyle name="60% - 강조색4 96" xfId="1969" xr:uid="{00000000-0005-0000-0000-000008070000}"/>
    <cellStyle name="60% - 강조색4 97" xfId="1989" xr:uid="{00000000-0005-0000-0000-000009070000}"/>
    <cellStyle name="60% - 강조색4 98" xfId="2009" xr:uid="{00000000-0005-0000-0000-00000A070000}"/>
    <cellStyle name="60% - 강조색4 99" xfId="2029" xr:uid="{00000000-0005-0000-0000-00000B070000}"/>
    <cellStyle name="60% - 강조색5" xfId="38" builtinId="48" customBuiltin="1"/>
    <cellStyle name="60% - 강조색5 10" xfId="252" xr:uid="{00000000-0005-0000-0000-00000D070000}"/>
    <cellStyle name="60% - 강조색5 100" xfId="2052" xr:uid="{00000000-0005-0000-0000-00000E070000}"/>
    <cellStyle name="60% - 강조색5 101" xfId="2072" xr:uid="{00000000-0005-0000-0000-00000F070000}"/>
    <cellStyle name="60% - 강조색5 102" xfId="2092" xr:uid="{00000000-0005-0000-0000-000010070000}"/>
    <cellStyle name="60% - 강조색5 103" xfId="2112" xr:uid="{00000000-0005-0000-0000-000011070000}"/>
    <cellStyle name="60% - 강조색5 104" xfId="2132" xr:uid="{00000000-0005-0000-0000-000012070000}"/>
    <cellStyle name="60% - 강조색5 105" xfId="2152" xr:uid="{00000000-0005-0000-0000-000013070000}"/>
    <cellStyle name="60% - 강조색5 106" xfId="2172" xr:uid="{00000000-0005-0000-0000-000014070000}"/>
    <cellStyle name="60% - 강조색5 107" xfId="2192" xr:uid="{00000000-0005-0000-0000-000015070000}"/>
    <cellStyle name="60% - 강조색5 108" xfId="2212" xr:uid="{00000000-0005-0000-0000-000016070000}"/>
    <cellStyle name="60% - 강조색5 109" xfId="2232" xr:uid="{00000000-0005-0000-0000-000017070000}"/>
    <cellStyle name="60% - 강조색5 11" xfId="272" xr:uid="{00000000-0005-0000-0000-000018070000}"/>
    <cellStyle name="60% - 강조색5 110" xfId="2255" xr:uid="{00000000-0005-0000-0000-000019070000}"/>
    <cellStyle name="60% - 강조색5 111" xfId="2277" xr:uid="{00000000-0005-0000-0000-00001A070000}"/>
    <cellStyle name="60% - 강조색5 112" xfId="2299" xr:uid="{00000000-0005-0000-0000-00001B070000}"/>
    <cellStyle name="60% - 강조색5 113" xfId="2319" xr:uid="{B81824B4-92EB-4FE2-AF21-C4B716211F54}"/>
    <cellStyle name="60% - 강조색5 114" xfId="2339" xr:uid="{5EFC6EF4-B85D-4FD7-9F93-F7FAD87783F2}"/>
    <cellStyle name="60% - 강조색5 115" xfId="2359" xr:uid="{CB5CCDF2-AD1B-43BE-B5F6-2B7FA6892DCA}"/>
    <cellStyle name="60% - 강조색5 116" xfId="2379" xr:uid="{A25DD3A7-FEC7-4826-BD8F-0B90E72EE024}"/>
    <cellStyle name="60% - 강조색5 117" xfId="2399" xr:uid="{01864F26-690D-4034-85D9-5A33347EC61F}"/>
    <cellStyle name="60% - 강조색5 118" xfId="2419" xr:uid="{238BE8D3-7759-48DA-A7B7-934B751D3C11}"/>
    <cellStyle name="60% - 강조색5 119" xfId="2439" xr:uid="{A8B93677-26DA-452C-AFE9-2EF49F683AFE}"/>
    <cellStyle name="60% - 강조색5 12" xfId="292" xr:uid="{00000000-0005-0000-0000-00001C070000}"/>
    <cellStyle name="60% - 강조색5 120" xfId="2459" xr:uid="{5BED7655-E616-4548-A6EC-CA636396EB2C}"/>
    <cellStyle name="60% - 강조색5 121" xfId="2479" xr:uid="{EB0BB164-70E2-4592-BE92-D13F54858867}"/>
    <cellStyle name="60% - 강조색5 122" xfId="2499" xr:uid="{D378B85E-EB76-4D33-A0D8-BA0AEE029AC1}"/>
    <cellStyle name="60% - 강조색5 123" xfId="2519" xr:uid="{D83D302B-2536-492C-B2D4-8E2356582E43}"/>
    <cellStyle name="60% - 강조색5 124" xfId="2539" xr:uid="{AC3324A3-23E0-40D0-8838-05EA527053EA}"/>
    <cellStyle name="60% - 강조색5 125" xfId="2559" xr:uid="{3E21E257-F30C-4E1C-BF9B-AA7C0EE4182E}"/>
    <cellStyle name="60% - 강조색5 126" xfId="2579" xr:uid="{8567578F-7379-4C57-9C6D-BB3756DA6279}"/>
    <cellStyle name="60% - 강조색5 127" xfId="2599" xr:uid="{88EF3747-CC9B-44B3-B6BF-2AFC7A73117F}"/>
    <cellStyle name="60% - 강조색5 128" xfId="2619" xr:uid="{CF0DC1BB-B3EC-40FF-BFCE-0C15A2335B78}"/>
    <cellStyle name="60% - 강조색5 129" xfId="2639" xr:uid="{0B87B0D6-375C-49E3-8CF7-1198EA0C9AE1}"/>
    <cellStyle name="60% - 강조색5 13" xfId="312" xr:uid="{00000000-0005-0000-0000-00001D070000}"/>
    <cellStyle name="60% - 강조색5 130" xfId="2659" xr:uid="{1C322425-6C60-48E8-884B-1087F96494E1}"/>
    <cellStyle name="60% - 강조색5 131" xfId="2679" xr:uid="{F26043FF-D1A0-4DBD-99D6-19845CD71866}"/>
    <cellStyle name="60% - 강조색5 132" xfId="2699" xr:uid="{FC9E93D5-A886-4F4E-B311-C29A3A9AA5E9}"/>
    <cellStyle name="60% - 강조색5 133" xfId="2719" xr:uid="{95DCEC40-48CF-40BB-A37D-7BF9ACC5E516}"/>
    <cellStyle name="60% - 강조색5 14" xfId="332" xr:uid="{00000000-0005-0000-0000-00001E070000}"/>
    <cellStyle name="60% - 강조색5 15" xfId="352" xr:uid="{00000000-0005-0000-0000-00001F070000}"/>
    <cellStyle name="60% - 강조색5 16" xfId="372" xr:uid="{00000000-0005-0000-0000-000020070000}"/>
    <cellStyle name="60% - 강조색5 17" xfId="392" xr:uid="{00000000-0005-0000-0000-000021070000}"/>
    <cellStyle name="60% - 강조색5 18" xfId="412" xr:uid="{00000000-0005-0000-0000-000022070000}"/>
    <cellStyle name="60% - 강조색5 19" xfId="432" xr:uid="{00000000-0005-0000-0000-000023070000}"/>
    <cellStyle name="60% - 강조색5 2" xfId="91" xr:uid="{00000000-0005-0000-0000-000024070000}"/>
    <cellStyle name="60% - 강조색5 20" xfId="452" xr:uid="{00000000-0005-0000-0000-000025070000}"/>
    <cellStyle name="60% - 강조색5 21" xfId="472" xr:uid="{00000000-0005-0000-0000-000026070000}"/>
    <cellStyle name="60% - 강조색5 22" xfId="492" xr:uid="{00000000-0005-0000-0000-000027070000}"/>
    <cellStyle name="60% - 강조색5 23" xfId="512" xr:uid="{00000000-0005-0000-0000-000028070000}"/>
    <cellStyle name="60% - 강조색5 24" xfId="532" xr:uid="{00000000-0005-0000-0000-000029070000}"/>
    <cellStyle name="60% - 강조색5 25" xfId="552" xr:uid="{00000000-0005-0000-0000-00002A070000}"/>
    <cellStyle name="60% - 강조색5 26" xfId="572" xr:uid="{00000000-0005-0000-0000-00002B070000}"/>
    <cellStyle name="60% - 강조색5 27" xfId="592" xr:uid="{00000000-0005-0000-0000-00002C070000}"/>
    <cellStyle name="60% - 강조색5 28" xfId="612" xr:uid="{00000000-0005-0000-0000-00002D070000}"/>
    <cellStyle name="60% - 강조색5 29" xfId="632" xr:uid="{00000000-0005-0000-0000-00002E070000}"/>
    <cellStyle name="60% - 강조색5 3" xfId="112" xr:uid="{00000000-0005-0000-0000-00002F070000}"/>
    <cellStyle name="60% - 강조색5 30" xfId="652" xr:uid="{00000000-0005-0000-0000-000030070000}"/>
    <cellStyle name="60% - 강조색5 31" xfId="672" xr:uid="{00000000-0005-0000-0000-000031070000}"/>
    <cellStyle name="60% - 강조색5 32" xfId="692" xr:uid="{00000000-0005-0000-0000-000032070000}"/>
    <cellStyle name="60% - 강조색5 33" xfId="712" xr:uid="{00000000-0005-0000-0000-000033070000}"/>
    <cellStyle name="60% - 강조색5 34" xfId="732" xr:uid="{00000000-0005-0000-0000-000034070000}"/>
    <cellStyle name="60% - 강조색5 35" xfId="752" xr:uid="{00000000-0005-0000-0000-000035070000}"/>
    <cellStyle name="60% - 강조색5 36" xfId="772" xr:uid="{00000000-0005-0000-0000-000036070000}"/>
    <cellStyle name="60% - 강조색5 37" xfId="792" xr:uid="{00000000-0005-0000-0000-000037070000}"/>
    <cellStyle name="60% - 강조색5 38" xfId="812" xr:uid="{00000000-0005-0000-0000-000038070000}"/>
    <cellStyle name="60% - 강조색5 39" xfId="832" xr:uid="{00000000-0005-0000-0000-000039070000}"/>
    <cellStyle name="60% - 강조색5 4" xfId="132" xr:uid="{00000000-0005-0000-0000-00003A070000}"/>
    <cellStyle name="60% - 강조색5 40" xfId="852" xr:uid="{00000000-0005-0000-0000-00003B070000}"/>
    <cellStyle name="60% - 강조색5 41" xfId="872" xr:uid="{00000000-0005-0000-0000-00003C070000}"/>
    <cellStyle name="60% - 강조색5 42" xfId="892" xr:uid="{00000000-0005-0000-0000-00003D070000}"/>
    <cellStyle name="60% - 강조색5 43" xfId="912" xr:uid="{00000000-0005-0000-0000-00003E070000}"/>
    <cellStyle name="60% - 강조색5 44" xfId="932" xr:uid="{00000000-0005-0000-0000-00003F070000}"/>
    <cellStyle name="60% - 강조색5 45" xfId="952" xr:uid="{00000000-0005-0000-0000-000040070000}"/>
    <cellStyle name="60% - 강조색5 46" xfId="972" xr:uid="{00000000-0005-0000-0000-000041070000}"/>
    <cellStyle name="60% - 강조색5 47" xfId="992" xr:uid="{00000000-0005-0000-0000-000042070000}"/>
    <cellStyle name="60% - 강조색5 48" xfId="1012" xr:uid="{00000000-0005-0000-0000-000043070000}"/>
    <cellStyle name="60% - 강조색5 49" xfId="1032" xr:uid="{00000000-0005-0000-0000-000044070000}"/>
    <cellStyle name="60% - 강조색5 5" xfId="152" xr:uid="{00000000-0005-0000-0000-000045070000}"/>
    <cellStyle name="60% - 강조색5 50" xfId="1052" xr:uid="{00000000-0005-0000-0000-000046070000}"/>
    <cellStyle name="60% - 강조색5 51" xfId="1072" xr:uid="{00000000-0005-0000-0000-000047070000}"/>
    <cellStyle name="60% - 강조색5 52" xfId="1092" xr:uid="{00000000-0005-0000-0000-000048070000}"/>
    <cellStyle name="60% - 강조색5 53" xfId="1112" xr:uid="{00000000-0005-0000-0000-000049070000}"/>
    <cellStyle name="60% - 강조색5 54" xfId="1132" xr:uid="{00000000-0005-0000-0000-00004A070000}"/>
    <cellStyle name="60% - 강조색5 55" xfId="1152" xr:uid="{00000000-0005-0000-0000-00004B070000}"/>
    <cellStyle name="60% - 강조색5 56" xfId="1172" xr:uid="{00000000-0005-0000-0000-00004C070000}"/>
    <cellStyle name="60% - 강조색5 57" xfId="1192" xr:uid="{00000000-0005-0000-0000-00004D070000}"/>
    <cellStyle name="60% - 강조색5 58" xfId="1212" xr:uid="{00000000-0005-0000-0000-00004E070000}"/>
    <cellStyle name="60% - 강조색5 59" xfId="1232" xr:uid="{00000000-0005-0000-0000-00004F070000}"/>
    <cellStyle name="60% - 강조색5 6" xfId="172" xr:uid="{00000000-0005-0000-0000-000050070000}"/>
    <cellStyle name="60% - 강조색5 60" xfId="1252" xr:uid="{00000000-0005-0000-0000-000051070000}"/>
    <cellStyle name="60% - 강조색5 61" xfId="1272" xr:uid="{00000000-0005-0000-0000-000052070000}"/>
    <cellStyle name="60% - 강조색5 62" xfId="1292" xr:uid="{00000000-0005-0000-0000-000053070000}"/>
    <cellStyle name="60% - 강조색5 63" xfId="1312" xr:uid="{00000000-0005-0000-0000-000054070000}"/>
    <cellStyle name="60% - 강조색5 64" xfId="1332" xr:uid="{00000000-0005-0000-0000-000055070000}"/>
    <cellStyle name="60% - 강조색5 65" xfId="1352" xr:uid="{00000000-0005-0000-0000-000056070000}"/>
    <cellStyle name="60% - 강조색5 66" xfId="1372" xr:uid="{00000000-0005-0000-0000-000057070000}"/>
    <cellStyle name="60% - 강조색5 67" xfId="1392" xr:uid="{00000000-0005-0000-0000-000058070000}"/>
    <cellStyle name="60% - 강조색5 68" xfId="1412" xr:uid="{00000000-0005-0000-0000-000059070000}"/>
    <cellStyle name="60% - 강조색5 69" xfId="1432" xr:uid="{00000000-0005-0000-0000-00005A070000}"/>
    <cellStyle name="60% - 강조색5 7" xfId="192" xr:uid="{00000000-0005-0000-0000-00005B070000}"/>
    <cellStyle name="60% - 강조색5 70" xfId="1452" xr:uid="{00000000-0005-0000-0000-00005C070000}"/>
    <cellStyle name="60% - 강조색5 71" xfId="1472" xr:uid="{00000000-0005-0000-0000-00005D070000}"/>
    <cellStyle name="60% - 강조색5 72" xfId="1492" xr:uid="{00000000-0005-0000-0000-00005E070000}"/>
    <cellStyle name="60% - 강조색5 73" xfId="1512" xr:uid="{00000000-0005-0000-0000-00005F070000}"/>
    <cellStyle name="60% - 강조색5 74" xfId="1532" xr:uid="{00000000-0005-0000-0000-000060070000}"/>
    <cellStyle name="60% - 강조색5 75" xfId="1552" xr:uid="{00000000-0005-0000-0000-000061070000}"/>
    <cellStyle name="60% - 강조색5 76" xfId="1572" xr:uid="{00000000-0005-0000-0000-000062070000}"/>
    <cellStyle name="60% - 강조색5 77" xfId="1592" xr:uid="{00000000-0005-0000-0000-000063070000}"/>
    <cellStyle name="60% - 강조색5 78" xfId="1612" xr:uid="{00000000-0005-0000-0000-000064070000}"/>
    <cellStyle name="60% - 강조색5 79" xfId="1632" xr:uid="{00000000-0005-0000-0000-000065070000}"/>
    <cellStyle name="60% - 강조색5 8" xfId="212" xr:uid="{00000000-0005-0000-0000-000066070000}"/>
    <cellStyle name="60% - 강조색5 80" xfId="1652" xr:uid="{00000000-0005-0000-0000-000067070000}"/>
    <cellStyle name="60% - 강조색5 81" xfId="1672" xr:uid="{00000000-0005-0000-0000-000068070000}"/>
    <cellStyle name="60% - 강조색5 82" xfId="1692" xr:uid="{00000000-0005-0000-0000-000069070000}"/>
    <cellStyle name="60% - 강조색5 83" xfId="1712" xr:uid="{00000000-0005-0000-0000-00006A070000}"/>
    <cellStyle name="60% - 강조색5 84" xfId="1732" xr:uid="{00000000-0005-0000-0000-00006B070000}"/>
    <cellStyle name="60% - 강조색5 85" xfId="1752" xr:uid="{00000000-0005-0000-0000-00006C070000}"/>
    <cellStyle name="60% - 강조색5 86" xfId="1772" xr:uid="{00000000-0005-0000-0000-00006D070000}"/>
    <cellStyle name="60% - 강조색5 87" xfId="1792" xr:uid="{00000000-0005-0000-0000-00006E070000}"/>
    <cellStyle name="60% - 강조색5 88" xfId="1812" xr:uid="{00000000-0005-0000-0000-00006F070000}"/>
    <cellStyle name="60% - 강조색5 89" xfId="1832" xr:uid="{00000000-0005-0000-0000-000070070000}"/>
    <cellStyle name="60% - 강조색5 9" xfId="232" xr:uid="{00000000-0005-0000-0000-000071070000}"/>
    <cellStyle name="60% - 강조색5 90" xfId="1852" xr:uid="{00000000-0005-0000-0000-000072070000}"/>
    <cellStyle name="60% - 강조색5 91" xfId="1872" xr:uid="{00000000-0005-0000-0000-000073070000}"/>
    <cellStyle name="60% - 강조색5 92" xfId="1892" xr:uid="{00000000-0005-0000-0000-000074070000}"/>
    <cellStyle name="60% - 강조색5 93" xfId="1912" xr:uid="{00000000-0005-0000-0000-000075070000}"/>
    <cellStyle name="60% - 강조색5 94" xfId="1932" xr:uid="{00000000-0005-0000-0000-000076070000}"/>
    <cellStyle name="60% - 강조색5 95" xfId="1952" xr:uid="{00000000-0005-0000-0000-000077070000}"/>
    <cellStyle name="60% - 강조색5 96" xfId="1972" xr:uid="{00000000-0005-0000-0000-000078070000}"/>
    <cellStyle name="60% - 강조색5 97" xfId="1992" xr:uid="{00000000-0005-0000-0000-000079070000}"/>
    <cellStyle name="60% - 강조색5 98" xfId="2012" xr:uid="{00000000-0005-0000-0000-00007A070000}"/>
    <cellStyle name="60% - 강조색5 99" xfId="2032" xr:uid="{00000000-0005-0000-0000-00007B070000}"/>
    <cellStyle name="60% - 강조색6" xfId="42" builtinId="52" customBuiltin="1"/>
    <cellStyle name="60% - 강조색6 10" xfId="255" xr:uid="{00000000-0005-0000-0000-00007D070000}"/>
    <cellStyle name="60% - 강조색6 100" xfId="2055" xr:uid="{00000000-0005-0000-0000-00007E070000}"/>
    <cellStyle name="60% - 강조색6 101" xfId="2075" xr:uid="{00000000-0005-0000-0000-00007F070000}"/>
    <cellStyle name="60% - 강조색6 102" xfId="2095" xr:uid="{00000000-0005-0000-0000-000080070000}"/>
    <cellStyle name="60% - 강조색6 103" xfId="2115" xr:uid="{00000000-0005-0000-0000-000081070000}"/>
    <cellStyle name="60% - 강조색6 104" xfId="2135" xr:uid="{00000000-0005-0000-0000-000082070000}"/>
    <cellStyle name="60% - 강조색6 105" xfId="2155" xr:uid="{00000000-0005-0000-0000-000083070000}"/>
    <cellStyle name="60% - 강조색6 106" xfId="2175" xr:uid="{00000000-0005-0000-0000-000084070000}"/>
    <cellStyle name="60% - 강조색6 107" xfId="2195" xr:uid="{00000000-0005-0000-0000-000085070000}"/>
    <cellStyle name="60% - 강조색6 108" xfId="2215" xr:uid="{00000000-0005-0000-0000-000086070000}"/>
    <cellStyle name="60% - 강조색6 109" xfId="2235" xr:uid="{00000000-0005-0000-0000-000087070000}"/>
    <cellStyle name="60% - 강조색6 11" xfId="275" xr:uid="{00000000-0005-0000-0000-000088070000}"/>
    <cellStyle name="60% - 강조색6 110" xfId="2258" xr:uid="{00000000-0005-0000-0000-000089070000}"/>
    <cellStyle name="60% - 강조색6 111" xfId="2280" xr:uid="{00000000-0005-0000-0000-00008A070000}"/>
    <cellStyle name="60% - 강조색6 112" xfId="2302" xr:uid="{00000000-0005-0000-0000-00008B070000}"/>
    <cellStyle name="60% - 강조색6 113" xfId="2322" xr:uid="{4F073E77-83F6-457E-828F-FF33EE48627C}"/>
    <cellStyle name="60% - 강조색6 114" xfId="2342" xr:uid="{F04DE0A6-BB25-4137-88D7-5FCDDFFD1908}"/>
    <cellStyle name="60% - 강조색6 115" xfId="2362" xr:uid="{D89ED2EF-C7CA-4110-908C-CAD9713FABF2}"/>
    <cellStyle name="60% - 강조색6 116" xfId="2382" xr:uid="{05EB6967-5235-414F-9D0B-DBE37127EB78}"/>
    <cellStyle name="60% - 강조색6 117" xfId="2402" xr:uid="{3F1A5D85-D0D8-4704-BB8B-DC11123AEBDE}"/>
    <cellStyle name="60% - 강조색6 118" xfId="2422" xr:uid="{5B44D472-8CA5-4048-97F6-080BC401DD53}"/>
    <cellStyle name="60% - 강조색6 119" xfId="2442" xr:uid="{56212A70-4F7C-410E-8FCE-3C7D3E4D9FF3}"/>
    <cellStyle name="60% - 강조색6 12" xfId="295" xr:uid="{00000000-0005-0000-0000-00008C070000}"/>
    <cellStyle name="60% - 강조색6 120" xfId="2462" xr:uid="{3ED55199-A938-4B4F-B0EA-59EED7EC4CCB}"/>
    <cellStyle name="60% - 강조색6 121" xfId="2482" xr:uid="{000B8BDB-D2A6-4DBD-9057-37609C81A135}"/>
    <cellStyle name="60% - 강조색6 122" xfId="2502" xr:uid="{938AD39D-A56E-4346-8667-89CF8CE89CA0}"/>
    <cellStyle name="60% - 강조색6 123" xfId="2522" xr:uid="{317C0105-E4F7-4257-B7AC-E8D95091CDF4}"/>
    <cellStyle name="60% - 강조색6 124" xfId="2542" xr:uid="{77579E64-1B5A-4AC3-A37D-7170150A577A}"/>
    <cellStyle name="60% - 강조색6 125" xfId="2562" xr:uid="{55A9FB06-AB6E-4392-B9BD-7D66F802817D}"/>
    <cellStyle name="60% - 강조색6 126" xfId="2582" xr:uid="{C7797B31-51DD-47EF-8F0B-93D5C24B324A}"/>
    <cellStyle name="60% - 강조색6 127" xfId="2602" xr:uid="{61188D72-8FB2-4CDC-AA26-DCA6F1C5BD22}"/>
    <cellStyle name="60% - 강조색6 128" xfId="2622" xr:uid="{298750AB-D91E-4471-9044-2414AE528B89}"/>
    <cellStyle name="60% - 강조색6 129" xfId="2642" xr:uid="{F7A90629-B006-41A0-A1E0-C95915040C24}"/>
    <cellStyle name="60% - 강조색6 13" xfId="315" xr:uid="{00000000-0005-0000-0000-00008D070000}"/>
    <cellStyle name="60% - 강조색6 130" xfId="2662" xr:uid="{5282E0B2-D869-4404-9507-9C5A8D0E8744}"/>
    <cellStyle name="60% - 강조색6 131" xfId="2682" xr:uid="{6828D92A-412A-4B40-A407-E752354E3E4D}"/>
    <cellStyle name="60% - 강조색6 132" xfId="2702" xr:uid="{09429672-F914-4DBE-9D37-0F542547766D}"/>
    <cellStyle name="60% - 강조색6 133" xfId="2722" xr:uid="{C3A7299C-1361-457B-B13A-207183C84DDA}"/>
    <cellStyle name="60% - 강조색6 14" xfId="335" xr:uid="{00000000-0005-0000-0000-00008E070000}"/>
    <cellStyle name="60% - 강조색6 15" xfId="355" xr:uid="{00000000-0005-0000-0000-00008F070000}"/>
    <cellStyle name="60% - 강조색6 16" xfId="375" xr:uid="{00000000-0005-0000-0000-000090070000}"/>
    <cellStyle name="60% - 강조색6 17" xfId="395" xr:uid="{00000000-0005-0000-0000-000091070000}"/>
    <cellStyle name="60% - 강조색6 18" xfId="415" xr:uid="{00000000-0005-0000-0000-000092070000}"/>
    <cellStyle name="60% - 강조색6 19" xfId="435" xr:uid="{00000000-0005-0000-0000-000093070000}"/>
    <cellStyle name="60% - 강조색6 2" xfId="95" xr:uid="{00000000-0005-0000-0000-000094070000}"/>
    <cellStyle name="60% - 강조색6 20" xfId="455" xr:uid="{00000000-0005-0000-0000-000095070000}"/>
    <cellStyle name="60% - 강조색6 21" xfId="475" xr:uid="{00000000-0005-0000-0000-000096070000}"/>
    <cellStyle name="60% - 강조색6 22" xfId="495" xr:uid="{00000000-0005-0000-0000-000097070000}"/>
    <cellStyle name="60% - 강조색6 23" xfId="515" xr:uid="{00000000-0005-0000-0000-000098070000}"/>
    <cellStyle name="60% - 강조색6 24" xfId="535" xr:uid="{00000000-0005-0000-0000-000099070000}"/>
    <cellStyle name="60% - 강조색6 25" xfId="555" xr:uid="{00000000-0005-0000-0000-00009A070000}"/>
    <cellStyle name="60% - 강조색6 26" xfId="575" xr:uid="{00000000-0005-0000-0000-00009B070000}"/>
    <cellStyle name="60% - 강조색6 27" xfId="595" xr:uid="{00000000-0005-0000-0000-00009C070000}"/>
    <cellStyle name="60% - 강조색6 28" xfId="615" xr:uid="{00000000-0005-0000-0000-00009D070000}"/>
    <cellStyle name="60% - 강조색6 29" xfId="635" xr:uid="{00000000-0005-0000-0000-00009E070000}"/>
    <cellStyle name="60% - 강조색6 3" xfId="115" xr:uid="{00000000-0005-0000-0000-00009F070000}"/>
    <cellStyle name="60% - 강조색6 30" xfId="655" xr:uid="{00000000-0005-0000-0000-0000A0070000}"/>
    <cellStyle name="60% - 강조색6 31" xfId="675" xr:uid="{00000000-0005-0000-0000-0000A1070000}"/>
    <cellStyle name="60% - 강조색6 32" xfId="695" xr:uid="{00000000-0005-0000-0000-0000A2070000}"/>
    <cellStyle name="60% - 강조색6 33" xfId="715" xr:uid="{00000000-0005-0000-0000-0000A3070000}"/>
    <cellStyle name="60% - 강조색6 34" xfId="735" xr:uid="{00000000-0005-0000-0000-0000A4070000}"/>
    <cellStyle name="60% - 강조색6 35" xfId="755" xr:uid="{00000000-0005-0000-0000-0000A5070000}"/>
    <cellStyle name="60% - 강조색6 36" xfId="775" xr:uid="{00000000-0005-0000-0000-0000A6070000}"/>
    <cellStyle name="60% - 강조색6 37" xfId="795" xr:uid="{00000000-0005-0000-0000-0000A7070000}"/>
    <cellStyle name="60% - 강조색6 38" xfId="815" xr:uid="{00000000-0005-0000-0000-0000A8070000}"/>
    <cellStyle name="60% - 강조색6 39" xfId="835" xr:uid="{00000000-0005-0000-0000-0000A9070000}"/>
    <cellStyle name="60% - 강조색6 4" xfId="135" xr:uid="{00000000-0005-0000-0000-0000AA070000}"/>
    <cellStyle name="60% - 강조색6 40" xfId="855" xr:uid="{00000000-0005-0000-0000-0000AB070000}"/>
    <cellStyle name="60% - 강조색6 41" xfId="875" xr:uid="{00000000-0005-0000-0000-0000AC070000}"/>
    <cellStyle name="60% - 강조색6 42" xfId="895" xr:uid="{00000000-0005-0000-0000-0000AD070000}"/>
    <cellStyle name="60% - 강조색6 43" xfId="915" xr:uid="{00000000-0005-0000-0000-0000AE070000}"/>
    <cellStyle name="60% - 강조색6 44" xfId="935" xr:uid="{00000000-0005-0000-0000-0000AF070000}"/>
    <cellStyle name="60% - 강조색6 45" xfId="955" xr:uid="{00000000-0005-0000-0000-0000B0070000}"/>
    <cellStyle name="60% - 강조색6 46" xfId="975" xr:uid="{00000000-0005-0000-0000-0000B1070000}"/>
    <cellStyle name="60% - 강조색6 47" xfId="995" xr:uid="{00000000-0005-0000-0000-0000B2070000}"/>
    <cellStyle name="60% - 강조색6 48" xfId="1015" xr:uid="{00000000-0005-0000-0000-0000B3070000}"/>
    <cellStyle name="60% - 강조색6 49" xfId="1035" xr:uid="{00000000-0005-0000-0000-0000B4070000}"/>
    <cellStyle name="60% - 강조색6 5" xfId="155" xr:uid="{00000000-0005-0000-0000-0000B5070000}"/>
    <cellStyle name="60% - 강조색6 50" xfId="1055" xr:uid="{00000000-0005-0000-0000-0000B6070000}"/>
    <cellStyle name="60% - 강조색6 51" xfId="1075" xr:uid="{00000000-0005-0000-0000-0000B7070000}"/>
    <cellStyle name="60% - 강조색6 52" xfId="1095" xr:uid="{00000000-0005-0000-0000-0000B8070000}"/>
    <cellStyle name="60% - 강조색6 53" xfId="1115" xr:uid="{00000000-0005-0000-0000-0000B9070000}"/>
    <cellStyle name="60% - 강조색6 54" xfId="1135" xr:uid="{00000000-0005-0000-0000-0000BA070000}"/>
    <cellStyle name="60% - 강조색6 55" xfId="1155" xr:uid="{00000000-0005-0000-0000-0000BB070000}"/>
    <cellStyle name="60% - 강조색6 56" xfId="1175" xr:uid="{00000000-0005-0000-0000-0000BC070000}"/>
    <cellStyle name="60% - 강조색6 57" xfId="1195" xr:uid="{00000000-0005-0000-0000-0000BD070000}"/>
    <cellStyle name="60% - 강조색6 58" xfId="1215" xr:uid="{00000000-0005-0000-0000-0000BE070000}"/>
    <cellStyle name="60% - 강조색6 59" xfId="1235" xr:uid="{00000000-0005-0000-0000-0000BF070000}"/>
    <cellStyle name="60% - 강조색6 6" xfId="175" xr:uid="{00000000-0005-0000-0000-0000C0070000}"/>
    <cellStyle name="60% - 강조색6 60" xfId="1255" xr:uid="{00000000-0005-0000-0000-0000C1070000}"/>
    <cellStyle name="60% - 강조색6 61" xfId="1275" xr:uid="{00000000-0005-0000-0000-0000C2070000}"/>
    <cellStyle name="60% - 강조색6 62" xfId="1295" xr:uid="{00000000-0005-0000-0000-0000C3070000}"/>
    <cellStyle name="60% - 강조색6 63" xfId="1315" xr:uid="{00000000-0005-0000-0000-0000C4070000}"/>
    <cellStyle name="60% - 강조색6 64" xfId="1335" xr:uid="{00000000-0005-0000-0000-0000C5070000}"/>
    <cellStyle name="60% - 강조색6 65" xfId="1355" xr:uid="{00000000-0005-0000-0000-0000C6070000}"/>
    <cellStyle name="60% - 강조색6 66" xfId="1375" xr:uid="{00000000-0005-0000-0000-0000C7070000}"/>
    <cellStyle name="60% - 강조색6 67" xfId="1395" xr:uid="{00000000-0005-0000-0000-0000C8070000}"/>
    <cellStyle name="60% - 강조색6 68" xfId="1415" xr:uid="{00000000-0005-0000-0000-0000C9070000}"/>
    <cellStyle name="60% - 강조색6 69" xfId="1435" xr:uid="{00000000-0005-0000-0000-0000CA070000}"/>
    <cellStyle name="60% - 강조색6 7" xfId="195" xr:uid="{00000000-0005-0000-0000-0000CB070000}"/>
    <cellStyle name="60% - 강조색6 70" xfId="1455" xr:uid="{00000000-0005-0000-0000-0000CC070000}"/>
    <cellStyle name="60% - 강조색6 71" xfId="1475" xr:uid="{00000000-0005-0000-0000-0000CD070000}"/>
    <cellStyle name="60% - 강조색6 72" xfId="1495" xr:uid="{00000000-0005-0000-0000-0000CE070000}"/>
    <cellStyle name="60% - 강조색6 73" xfId="1515" xr:uid="{00000000-0005-0000-0000-0000CF070000}"/>
    <cellStyle name="60% - 강조색6 74" xfId="1535" xr:uid="{00000000-0005-0000-0000-0000D0070000}"/>
    <cellStyle name="60% - 강조색6 75" xfId="1555" xr:uid="{00000000-0005-0000-0000-0000D1070000}"/>
    <cellStyle name="60% - 강조색6 76" xfId="1575" xr:uid="{00000000-0005-0000-0000-0000D2070000}"/>
    <cellStyle name="60% - 강조색6 77" xfId="1595" xr:uid="{00000000-0005-0000-0000-0000D3070000}"/>
    <cellStyle name="60% - 강조색6 78" xfId="1615" xr:uid="{00000000-0005-0000-0000-0000D4070000}"/>
    <cellStyle name="60% - 강조색6 79" xfId="1635" xr:uid="{00000000-0005-0000-0000-0000D5070000}"/>
    <cellStyle name="60% - 강조색6 8" xfId="215" xr:uid="{00000000-0005-0000-0000-0000D6070000}"/>
    <cellStyle name="60% - 강조색6 80" xfId="1655" xr:uid="{00000000-0005-0000-0000-0000D7070000}"/>
    <cellStyle name="60% - 강조색6 81" xfId="1675" xr:uid="{00000000-0005-0000-0000-0000D8070000}"/>
    <cellStyle name="60% - 강조색6 82" xfId="1695" xr:uid="{00000000-0005-0000-0000-0000D9070000}"/>
    <cellStyle name="60% - 강조색6 83" xfId="1715" xr:uid="{00000000-0005-0000-0000-0000DA070000}"/>
    <cellStyle name="60% - 강조색6 84" xfId="1735" xr:uid="{00000000-0005-0000-0000-0000DB070000}"/>
    <cellStyle name="60% - 강조색6 85" xfId="1755" xr:uid="{00000000-0005-0000-0000-0000DC070000}"/>
    <cellStyle name="60% - 강조색6 86" xfId="1775" xr:uid="{00000000-0005-0000-0000-0000DD070000}"/>
    <cellStyle name="60% - 강조색6 87" xfId="1795" xr:uid="{00000000-0005-0000-0000-0000DE070000}"/>
    <cellStyle name="60% - 강조색6 88" xfId="1815" xr:uid="{00000000-0005-0000-0000-0000DF070000}"/>
    <cellStyle name="60% - 강조색6 89" xfId="1835" xr:uid="{00000000-0005-0000-0000-0000E0070000}"/>
    <cellStyle name="60% - 강조색6 9" xfId="235" xr:uid="{00000000-0005-0000-0000-0000E1070000}"/>
    <cellStyle name="60% - 강조색6 90" xfId="1855" xr:uid="{00000000-0005-0000-0000-0000E2070000}"/>
    <cellStyle name="60% - 강조색6 91" xfId="1875" xr:uid="{00000000-0005-0000-0000-0000E3070000}"/>
    <cellStyle name="60% - 강조색6 92" xfId="1895" xr:uid="{00000000-0005-0000-0000-0000E4070000}"/>
    <cellStyle name="60% - 강조색6 93" xfId="1915" xr:uid="{00000000-0005-0000-0000-0000E5070000}"/>
    <cellStyle name="60% - 강조색6 94" xfId="1935" xr:uid="{00000000-0005-0000-0000-0000E6070000}"/>
    <cellStyle name="60% - 강조색6 95" xfId="1955" xr:uid="{00000000-0005-0000-0000-0000E7070000}"/>
    <cellStyle name="60% - 강조색6 96" xfId="1975" xr:uid="{00000000-0005-0000-0000-0000E8070000}"/>
    <cellStyle name="60% - 강조색6 97" xfId="1995" xr:uid="{00000000-0005-0000-0000-0000E9070000}"/>
    <cellStyle name="60% - 강조색6 98" xfId="2015" xr:uid="{00000000-0005-0000-0000-0000EA070000}"/>
    <cellStyle name="60% - 강조색6 99" xfId="2035" xr:uid="{00000000-0005-0000-0000-0000EB070000}"/>
    <cellStyle name="강조색1" xfId="19" builtinId="29" customBuiltin="1"/>
    <cellStyle name="강조색1 2" xfId="72" xr:uid="{00000000-0005-0000-0000-0000ED070000}"/>
    <cellStyle name="강조색2" xfId="23" builtinId="33" customBuiltin="1"/>
    <cellStyle name="강조색2 2" xfId="76" xr:uid="{00000000-0005-0000-0000-0000EF070000}"/>
    <cellStyle name="강조색3" xfId="27" builtinId="37" customBuiltin="1"/>
    <cellStyle name="강조색3 2" xfId="80" xr:uid="{00000000-0005-0000-0000-0000F1070000}"/>
    <cellStyle name="강조색4" xfId="31" builtinId="41" customBuiltin="1"/>
    <cellStyle name="강조색4 2" xfId="84" xr:uid="{00000000-0005-0000-0000-0000F3070000}"/>
    <cellStyle name="강조색5" xfId="35" builtinId="45" customBuiltin="1"/>
    <cellStyle name="강조색5 2" xfId="88" xr:uid="{00000000-0005-0000-0000-0000F5070000}"/>
    <cellStyle name="강조색6" xfId="39" builtinId="49" customBuiltin="1"/>
    <cellStyle name="강조색6 2" xfId="92" xr:uid="{00000000-0005-0000-0000-0000F7070000}"/>
    <cellStyle name="경고문" xfId="16" builtinId="11" customBuiltin="1"/>
    <cellStyle name="경고문 2" xfId="68" xr:uid="{00000000-0005-0000-0000-0000F9070000}"/>
    <cellStyle name="계산" xfId="13" builtinId="22" customBuiltin="1"/>
    <cellStyle name="계산 2" xfId="65" xr:uid="{00000000-0005-0000-0000-0000FB070000}"/>
    <cellStyle name="나쁨" xfId="9" builtinId="27" customBuiltin="1"/>
    <cellStyle name="나쁨 2" xfId="61" xr:uid="{00000000-0005-0000-0000-0000FD070000}"/>
    <cellStyle name="메모 10" xfId="197" xr:uid="{00000000-0005-0000-0000-0000FE070000}"/>
    <cellStyle name="메모 100" xfId="1997" xr:uid="{00000000-0005-0000-0000-0000FF070000}"/>
    <cellStyle name="메모 101" xfId="2017" xr:uid="{00000000-0005-0000-0000-000000080000}"/>
    <cellStyle name="메모 102" xfId="2037" xr:uid="{00000000-0005-0000-0000-000001080000}"/>
    <cellStyle name="메모 103" xfId="2057" xr:uid="{00000000-0005-0000-0000-000002080000}"/>
    <cellStyle name="메모 104" xfId="2077" xr:uid="{00000000-0005-0000-0000-000003080000}"/>
    <cellStyle name="메모 105" xfId="2097" xr:uid="{00000000-0005-0000-0000-000004080000}"/>
    <cellStyle name="메모 106" xfId="2117" xr:uid="{00000000-0005-0000-0000-000005080000}"/>
    <cellStyle name="메모 107" xfId="2137" xr:uid="{00000000-0005-0000-0000-000006080000}"/>
    <cellStyle name="메모 108" xfId="2157" xr:uid="{00000000-0005-0000-0000-000007080000}"/>
    <cellStyle name="메모 109" xfId="2177" xr:uid="{00000000-0005-0000-0000-000008080000}"/>
    <cellStyle name="메모 11" xfId="217" xr:uid="{00000000-0005-0000-0000-000009080000}"/>
    <cellStyle name="메모 110" xfId="2197" xr:uid="{00000000-0005-0000-0000-00000A080000}"/>
    <cellStyle name="메모 111" xfId="2217" xr:uid="{00000000-0005-0000-0000-00000B080000}"/>
    <cellStyle name="메모 112" xfId="2240" xr:uid="{00000000-0005-0000-0000-00000C080000}"/>
    <cellStyle name="메모 113" xfId="2262" xr:uid="{00000000-0005-0000-0000-00000D080000}"/>
    <cellStyle name="메모 114" xfId="2284" xr:uid="{00000000-0005-0000-0000-00000E080000}"/>
    <cellStyle name="메모 115" xfId="2304" xr:uid="{892D7E30-BB82-469E-99A0-64025EE7861A}"/>
    <cellStyle name="메모 116" xfId="2324" xr:uid="{ABAD06FA-D934-4F7D-80AB-D0BF7461957C}"/>
    <cellStyle name="메모 117" xfId="2344" xr:uid="{9A9CC7F8-07FF-4866-8C3C-154FB65C8655}"/>
    <cellStyle name="메모 118" xfId="2364" xr:uid="{110D1849-C0AF-4454-8615-95D262AC244D}"/>
    <cellStyle name="메모 119" xfId="2384" xr:uid="{07745C73-6459-4283-A2FC-C14AFFDEB743}"/>
    <cellStyle name="메모 12" xfId="237" xr:uid="{00000000-0005-0000-0000-00000F080000}"/>
    <cellStyle name="메모 120" xfId="2404" xr:uid="{F7CCAF6A-82DF-47CE-BE3D-EC3531C34469}"/>
    <cellStyle name="메모 121" xfId="2424" xr:uid="{50963196-D62A-4420-82A6-94113AF59695}"/>
    <cellStyle name="메모 122" xfId="2444" xr:uid="{C21D09AE-EB3B-4270-B1CE-FFE8C8252E4F}"/>
    <cellStyle name="메모 123" xfId="2464" xr:uid="{A39D945C-F157-4DAC-8AA0-5F47AA1B7611}"/>
    <cellStyle name="메모 124" xfId="2484" xr:uid="{3F814555-4FE0-4134-A348-754892E442FA}"/>
    <cellStyle name="메모 125" xfId="2504" xr:uid="{F0A21694-3CD0-4C13-8639-378B09C1904D}"/>
    <cellStyle name="메모 126" xfId="2524" xr:uid="{2D3A9D6F-EE94-4050-9E6C-9CB89B2C76DD}"/>
    <cellStyle name="메모 127" xfId="2544" xr:uid="{28919722-5E78-4693-B71C-DE01CEEAAE29}"/>
    <cellStyle name="메모 128" xfId="2564" xr:uid="{2F89E975-AAA2-4C08-ADCC-F5FE6E1E58E4}"/>
    <cellStyle name="메모 129" xfId="2584" xr:uid="{18F43BB2-E93A-4652-AEE7-28B123B683C4}"/>
    <cellStyle name="메모 13" xfId="257" xr:uid="{00000000-0005-0000-0000-000010080000}"/>
    <cellStyle name="메모 130" xfId="2604" xr:uid="{EBD6128F-5A7D-4644-8A79-9BA257661D71}"/>
    <cellStyle name="메모 131" xfId="2624" xr:uid="{EDF8BD68-EF81-4902-A4D8-6863585DBAB4}"/>
    <cellStyle name="메모 132" xfId="2644" xr:uid="{75FEEDC6-44F7-47E9-AE9B-033CCA91A151}"/>
    <cellStyle name="메모 133" xfId="2664" xr:uid="{19FBD30D-9325-4C33-BFEA-882BA539DAE6}"/>
    <cellStyle name="메모 134" xfId="2684" xr:uid="{F0677515-0AA2-47DD-9322-813864ABA3C1}"/>
    <cellStyle name="메모 135" xfId="2704" xr:uid="{7014837E-7BD2-4FB1-ABBB-A41DA6A82AF5}"/>
    <cellStyle name="메모 14" xfId="277" xr:uid="{00000000-0005-0000-0000-000011080000}"/>
    <cellStyle name="메모 15" xfId="297" xr:uid="{00000000-0005-0000-0000-000012080000}"/>
    <cellStyle name="메모 16" xfId="317" xr:uid="{00000000-0005-0000-0000-000013080000}"/>
    <cellStyle name="메모 17" xfId="337" xr:uid="{00000000-0005-0000-0000-000014080000}"/>
    <cellStyle name="메모 18" xfId="357" xr:uid="{00000000-0005-0000-0000-000015080000}"/>
    <cellStyle name="메모 19" xfId="377" xr:uid="{00000000-0005-0000-0000-000016080000}"/>
    <cellStyle name="메모 2" xfId="44" xr:uid="{00000000-0005-0000-0000-000017080000}"/>
    <cellStyle name="메모 20" xfId="397" xr:uid="{00000000-0005-0000-0000-000018080000}"/>
    <cellStyle name="메모 21" xfId="417" xr:uid="{00000000-0005-0000-0000-000019080000}"/>
    <cellStyle name="메모 22" xfId="437" xr:uid="{00000000-0005-0000-0000-00001A080000}"/>
    <cellStyle name="메모 23" xfId="457" xr:uid="{00000000-0005-0000-0000-00001B080000}"/>
    <cellStyle name="메모 24" xfId="477" xr:uid="{00000000-0005-0000-0000-00001C080000}"/>
    <cellStyle name="메모 25" xfId="497" xr:uid="{00000000-0005-0000-0000-00001D080000}"/>
    <cellStyle name="메모 26" xfId="517" xr:uid="{00000000-0005-0000-0000-00001E080000}"/>
    <cellStyle name="메모 27" xfId="537" xr:uid="{00000000-0005-0000-0000-00001F080000}"/>
    <cellStyle name="메모 28" xfId="557" xr:uid="{00000000-0005-0000-0000-000020080000}"/>
    <cellStyle name="메모 29" xfId="577" xr:uid="{00000000-0005-0000-0000-000021080000}"/>
    <cellStyle name="메모 3" xfId="46" xr:uid="{00000000-0005-0000-0000-000022080000}"/>
    <cellStyle name="메모 30" xfId="597" xr:uid="{00000000-0005-0000-0000-000023080000}"/>
    <cellStyle name="메모 31" xfId="617" xr:uid="{00000000-0005-0000-0000-000024080000}"/>
    <cellStyle name="메모 32" xfId="637" xr:uid="{00000000-0005-0000-0000-000025080000}"/>
    <cellStyle name="메모 33" xfId="657" xr:uid="{00000000-0005-0000-0000-000026080000}"/>
    <cellStyle name="메모 34" xfId="677" xr:uid="{00000000-0005-0000-0000-000027080000}"/>
    <cellStyle name="메모 35" xfId="697" xr:uid="{00000000-0005-0000-0000-000028080000}"/>
    <cellStyle name="메모 36" xfId="717" xr:uid="{00000000-0005-0000-0000-000029080000}"/>
    <cellStyle name="메모 37" xfId="737" xr:uid="{00000000-0005-0000-0000-00002A080000}"/>
    <cellStyle name="메모 38" xfId="757" xr:uid="{00000000-0005-0000-0000-00002B080000}"/>
    <cellStyle name="메모 39" xfId="777" xr:uid="{00000000-0005-0000-0000-00002C080000}"/>
    <cellStyle name="메모 4" xfId="69" xr:uid="{00000000-0005-0000-0000-00002D080000}"/>
    <cellStyle name="메모 40" xfId="797" xr:uid="{00000000-0005-0000-0000-00002E080000}"/>
    <cellStyle name="메모 41" xfId="817" xr:uid="{00000000-0005-0000-0000-00002F080000}"/>
    <cellStyle name="메모 42" xfId="837" xr:uid="{00000000-0005-0000-0000-000030080000}"/>
    <cellStyle name="메모 43" xfId="857" xr:uid="{00000000-0005-0000-0000-000031080000}"/>
    <cellStyle name="메모 44" xfId="877" xr:uid="{00000000-0005-0000-0000-000032080000}"/>
    <cellStyle name="메모 45" xfId="897" xr:uid="{00000000-0005-0000-0000-000033080000}"/>
    <cellStyle name="메모 46" xfId="917" xr:uid="{00000000-0005-0000-0000-000034080000}"/>
    <cellStyle name="메모 47" xfId="937" xr:uid="{00000000-0005-0000-0000-000035080000}"/>
    <cellStyle name="메모 48" xfId="957" xr:uid="{00000000-0005-0000-0000-000036080000}"/>
    <cellStyle name="메모 49" xfId="977" xr:uid="{00000000-0005-0000-0000-000037080000}"/>
    <cellStyle name="메모 5" xfId="97" xr:uid="{00000000-0005-0000-0000-000038080000}"/>
    <cellStyle name="메모 50" xfId="997" xr:uid="{00000000-0005-0000-0000-000039080000}"/>
    <cellStyle name="메모 51" xfId="1017" xr:uid="{00000000-0005-0000-0000-00003A080000}"/>
    <cellStyle name="메모 52" xfId="1037" xr:uid="{00000000-0005-0000-0000-00003B080000}"/>
    <cellStyle name="메모 53" xfId="1057" xr:uid="{00000000-0005-0000-0000-00003C080000}"/>
    <cellStyle name="메모 54" xfId="1077" xr:uid="{00000000-0005-0000-0000-00003D080000}"/>
    <cellStyle name="메모 55" xfId="1097" xr:uid="{00000000-0005-0000-0000-00003E080000}"/>
    <cellStyle name="메모 56" xfId="1117" xr:uid="{00000000-0005-0000-0000-00003F080000}"/>
    <cellStyle name="메모 57" xfId="1137" xr:uid="{00000000-0005-0000-0000-000040080000}"/>
    <cellStyle name="메모 58" xfId="1157" xr:uid="{00000000-0005-0000-0000-000041080000}"/>
    <cellStyle name="메모 59" xfId="1177" xr:uid="{00000000-0005-0000-0000-000042080000}"/>
    <cellStyle name="메모 6" xfId="117" xr:uid="{00000000-0005-0000-0000-000043080000}"/>
    <cellStyle name="메모 60" xfId="1197" xr:uid="{00000000-0005-0000-0000-000044080000}"/>
    <cellStyle name="메모 61" xfId="1217" xr:uid="{00000000-0005-0000-0000-000045080000}"/>
    <cellStyle name="메모 62" xfId="1237" xr:uid="{00000000-0005-0000-0000-000046080000}"/>
    <cellStyle name="메모 63" xfId="1257" xr:uid="{00000000-0005-0000-0000-000047080000}"/>
    <cellStyle name="메모 64" xfId="1277" xr:uid="{00000000-0005-0000-0000-000048080000}"/>
    <cellStyle name="메모 65" xfId="1297" xr:uid="{00000000-0005-0000-0000-000049080000}"/>
    <cellStyle name="메모 66" xfId="1317" xr:uid="{00000000-0005-0000-0000-00004A080000}"/>
    <cellStyle name="메모 67" xfId="1337" xr:uid="{00000000-0005-0000-0000-00004B080000}"/>
    <cellStyle name="메모 68" xfId="1357" xr:uid="{00000000-0005-0000-0000-00004C080000}"/>
    <cellStyle name="메모 69" xfId="1377" xr:uid="{00000000-0005-0000-0000-00004D080000}"/>
    <cellStyle name="메모 7" xfId="137" xr:uid="{00000000-0005-0000-0000-00004E080000}"/>
    <cellStyle name="메모 70" xfId="1397" xr:uid="{00000000-0005-0000-0000-00004F080000}"/>
    <cellStyle name="메모 71" xfId="1417" xr:uid="{00000000-0005-0000-0000-000050080000}"/>
    <cellStyle name="메모 72" xfId="1437" xr:uid="{00000000-0005-0000-0000-000051080000}"/>
    <cellStyle name="메모 73" xfId="1457" xr:uid="{00000000-0005-0000-0000-000052080000}"/>
    <cellStyle name="메모 74" xfId="1477" xr:uid="{00000000-0005-0000-0000-000053080000}"/>
    <cellStyle name="메모 75" xfId="1497" xr:uid="{00000000-0005-0000-0000-000054080000}"/>
    <cellStyle name="메모 76" xfId="1517" xr:uid="{00000000-0005-0000-0000-000055080000}"/>
    <cellStyle name="메모 77" xfId="1537" xr:uid="{00000000-0005-0000-0000-000056080000}"/>
    <cellStyle name="메모 78" xfId="1557" xr:uid="{00000000-0005-0000-0000-000057080000}"/>
    <cellStyle name="메모 79" xfId="1577" xr:uid="{00000000-0005-0000-0000-000058080000}"/>
    <cellStyle name="메모 8" xfId="157" xr:uid="{00000000-0005-0000-0000-000059080000}"/>
    <cellStyle name="메모 80" xfId="1597" xr:uid="{00000000-0005-0000-0000-00005A080000}"/>
    <cellStyle name="메모 81" xfId="1617" xr:uid="{00000000-0005-0000-0000-00005B080000}"/>
    <cellStyle name="메모 82" xfId="1637" xr:uid="{00000000-0005-0000-0000-00005C080000}"/>
    <cellStyle name="메모 83" xfId="1657" xr:uid="{00000000-0005-0000-0000-00005D080000}"/>
    <cellStyle name="메모 84" xfId="1677" xr:uid="{00000000-0005-0000-0000-00005E080000}"/>
    <cellStyle name="메모 85" xfId="1697" xr:uid="{00000000-0005-0000-0000-00005F080000}"/>
    <cellStyle name="메모 86" xfId="1717" xr:uid="{00000000-0005-0000-0000-000060080000}"/>
    <cellStyle name="메모 87" xfId="1737" xr:uid="{00000000-0005-0000-0000-000061080000}"/>
    <cellStyle name="메모 88" xfId="1757" xr:uid="{00000000-0005-0000-0000-000062080000}"/>
    <cellStyle name="메모 89" xfId="1777" xr:uid="{00000000-0005-0000-0000-000063080000}"/>
    <cellStyle name="메모 9" xfId="177" xr:uid="{00000000-0005-0000-0000-000064080000}"/>
    <cellStyle name="메모 90" xfId="1797" xr:uid="{00000000-0005-0000-0000-000065080000}"/>
    <cellStyle name="메모 91" xfId="1817" xr:uid="{00000000-0005-0000-0000-000066080000}"/>
    <cellStyle name="메모 92" xfId="1837" xr:uid="{00000000-0005-0000-0000-000067080000}"/>
    <cellStyle name="메모 93" xfId="1857" xr:uid="{00000000-0005-0000-0000-000068080000}"/>
    <cellStyle name="메모 94" xfId="1877" xr:uid="{00000000-0005-0000-0000-000069080000}"/>
    <cellStyle name="메모 95" xfId="1897" xr:uid="{00000000-0005-0000-0000-00006A080000}"/>
    <cellStyle name="메모 96" xfId="1917" xr:uid="{00000000-0005-0000-0000-00006B080000}"/>
    <cellStyle name="메모 97" xfId="1937" xr:uid="{00000000-0005-0000-0000-00006C080000}"/>
    <cellStyle name="메모 98" xfId="1957" xr:uid="{00000000-0005-0000-0000-00006D080000}"/>
    <cellStyle name="메모 99" xfId="1977" xr:uid="{00000000-0005-0000-0000-00006E080000}"/>
    <cellStyle name="보통" xfId="10" builtinId="28" customBuiltin="1"/>
    <cellStyle name="보통 2" xfId="62" xr:uid="{00000000-0005-0000-0000-000070080000}"/>
    <cellStyle name="설명 텍스트" xfId="17" builtinId="53" customBuiltin="1"/>
    <cellStyle name="설명 텍스트 2" xfId="70" xr:uid="{00000000-0005-0000-0000-000072080000}"/>
    <cellStyle name="셀 확인" xfId="15" builtinId="23" customBuiltin="1"/>
    <cellStyle name="셀 확인 2" xfId="67" xr:uid="{00000000-0005-0000-0000-000074080000}"/>
    <cellStyle name="쉼표 [0] 2" xfId="2" xr:uid="{00000000-0005-0000-0000-000075080000}"/>
    <cellStyle name="쉼표 [0] 2 2" xfId="2237" xr:uid="{00000000-0005-0000-0000-000076080000}"/>
    <cellStyle name="연결된 셀" xfId="14" builtinId="24" customBuiltin="1"/>
    <cellStyle name="연결된 셀 2" xfId="66" xr:uid="{00000000-0005-0000-0000-000078080000}"/>
    <cellStyle name="열어 본 하이퍼링크" xfId="2260" builtinId="9" customBuiltin="1"/>
    <cellStyle name="요약" xfId="18" builtinId="25" customBuiltin="1"/>
    <cellStyle name="요약 2" xfId="71" xr:uid="{00000000-0005-0000-0000-00007B080000}"/>
    <cellStyle name="입력" xfId="11" builtinId="20" customBuiltin="1"/>
    <cellStyle name="입력 2" xfId="63" xr:uid="{00000000-0005-0000-0000-00007D080000}"/>
    <cellStyle name="제목" xfId="3" builtinId="15" customBuiltin="1"/>
    <cellStyle name="제목 1" xfId="4" builtinId="16" customBuiltin="1"/>
    <cellStyle name="제목 2" xfId="5" builtinId="17" customBuiltin="1"/>
    <cellStyle name="제목 3" xfId="6" builtinId="18" customBuiltin="1"/>
    <cellStyle name="제목 4" xfId="7" builtinId="19" customBuiltin="1"/>
    <cellStyle name="좋음" xfId="8" builtinId="26" customBuiltin="1"/>
    <cellStyle name="좋음 2" xfId="60" xr:uid="{00000000-0005-0000-0000-000084080000}"/>
    <cellStyle name="출력" xfId="12" builtinId="21" customBuiltin="1"/>
    <cellStyle name="출력 2" xfId="64" xr:uid="{00000000-0005-0000-0000-000086080000}"/>
    <cellStyle name="표준" xfId="0" builtinId="0"/>
    <cellStyle name="표준 10" xfId="176" xr:uid="{00000000-0005-0000-0000-000088080000}"/>
    <cellStyle name="표준 100" xfId="1976" xr:uid="{00000000-0005-0000-0000-000089080000}"/>
    <cellStyle name="표준 101" xfId="1996" xr:uid="{00000000-0005-0000-0000-00008A080000}"/>
    <cellStyle name="표준 102" xfId="2016" xr:uid="{00000000-0005-0000-0000-00008B080000}"/>
    <cellStyle name="표준 103" xfId="2036" xr:uid="{00000000-0005-0000-0000-00008C080000}"/>
    <cellStyle name="표준 104" xfId="2056" xr:uid="{00000000-0005-0000-0000-00008D080000}"/>
    <cellStyle name="표준 105" xfId="2076" xr:uid="{00000000-0005-0000-0000-00008E080000}"/>
    <cellStyle name="표준 106" xfId="2096" xr:uid="{00000000-0005-0000-0000-00008F080000}"/>
    <cellStyle name="표준 107" xfId="2116" xr:uid="{00000000-0005-0000-0000-000090080000}"/>
    <cellStyle name="표준 108" xfId="2136" xr:uid="{00000000-0005-0000-0000-000091080000}"/>
    <cellStyle name="표준 109" xfId="2156" xr:uid="{00000000-0005-0000-0000-000092080000}"/>
    <cellStyle name="표준 11" xfId="196" xr:uid="{00000000-0005-0000-0000-000093080000}"/>
    <cellStyle name="표준 110" xfId="2176" xr:uid="{00000000-0005-0000-0000-000094080000}"/>
    <cellStyle name="표준 111" xfId="2196" xr:uid="{00000000-0005-0000-0000-000095080000}"/>
    <cellStyle name="표준 112" xfId="2216" xr:uid="{00000000-0005-0000-0000-000096080000}"/>
    <cellStyle name="표준 113" xfId="2239" xr:uid="{00000000-0005-0000-0000-000097080000}"/>
    <cellStyle name="표준 114" xfId="2261" xr:uid="{00000000-0005-0000-0000-000098080000}"/>
    <cellStyle name="표준 115" xfId="2281" xr:uid="{00000000-0005-0000-0000-000099080000}"/>
    <cellStyle name="표준 116" xfId="2282" xr:uid="{00000000-0005-0000-0000-00009A080000}"/>
    <cellStyle name="표준 117" xfId="2283" xr:uid="{00000000-0005-0000-0000-00009B080000}"/>
    <cellStyle name="표준 118" xfId="2303" xr:uid="{FEC58389-34D3-48F2-A605-259CE636B3EC}"/>
    <cellStyle name="표준 119" xfId="2323" xr:uid="{EF467E40-308C-48DE-962C-58616261E0A4}"/>
    <cellStyle name="표준 12" xfId="216" xr:uid="{00000000-0005-0000-0000-00009C080000}"/>
    <cellStyle name="표준 120" xfId="2343" xr:uid="{6153C828-1698-4F28-8AAC-4780A27EA948}"/>
    <cellStyle name="표준 121" xfId="2363" xr:uid="{8902AF94-626F-4D55-A3F5-645073CB856F}"/>
    <cellStyle name="표준 122" xfId="2383" xr:uid="{451193E9-9EB0-424E-A8E8-25B09ACA69CE}"/>
    <cellStyle name="표준 123" xfId="2403" xr:uid="{C38496A1-CB2B-4312-AF83-FAC3C9D10BA0}"/>
    <cellStyle name="표준 124" xfId="2423" xr:uid="{92581645-5865-4231-8D6C-F8AD4C1A0F11}"/>
    <cellStyle name="표준 125" xfId="2443" xr:uid="{24C903E2-3479-4E3B-823D-29E6E3DA90E4}"/>
    <cellStyle name="표준 126" xfId="2463" xr:uid="{FA9BFD89-C39E-4146-A984-5981F699A2D5}"/>
    <cellStyle name="표준 127" xfId="2483" xr:uid="{EB4B77EC-A271-475E-92DE-EA4A69B520B7}"/>
    <cellStyle name="표준 128" xfId="2503" xr:uid="{95EDFFF7-A54F-4649-AE63-B9B182F29370}"/>
    <cellStyle name="표준 129" xfId="2523" xr:uid="{865635F1-C128-44DE-B899-514DC2C26DAB}"/>
    <cellStyle name="표준 13" xfId="236" xr:uid="{00000000-0005-0000-0000-00009D080000}"/>
    <cellStyle name="표준 130" xfId="2543" xr:uid="{E7AD56F3-1643-4EF3-BA80-E3644DA49A05}"/>
    <cellStyle name="표준 131" xfId="2563" xr:uid="{619EB801-0AA1-4FB8-8616-C3DBD97D62A9}"/>
    <cellStyle name="표준 132" xfId="2583" xr:uid="{C3B049C2-367C-4B06-9B03-BFDD782754A0}"/>
    <cellStyle name="표준 133" xfId="2603" xr:uid="{D81C278E-633B-47DC-AA48-B4C2CB5153EE}"/>
    <cellStyle name="표준 134" xfId="2623" xr:uid="{0CD1A731-1F8A-401C-B00B-E9BCFC568FF9}"/>
    <cellStyle name="표준 135" xfId="2643" xr:uid="{372CAFC6-6A41-44AE-B105-1E03BA0CC1B7}"/>
    <cellStyle name="표준 136" xfId="2663" xr:uid="{425907F0-8D04-4A62-BB6E-97B74DE7185D}"/>
    <cellStyle name="표준 137" xfId="2683" xr:uid="{648FD085-3971-4CE8-ADD0-C169AE9763BD}"/>
    <cellStyle name="표준 138" xfId="2703" xr:uid="{90B7D9FE-B3C0-4EC5-ACA0-39F1FCB06B9E}"/>
    <cellStyle name="표준 14" xfId="256" xr:uid="{00000000-0005-0000-0000-00009E080000}"/>
    <cellStyle name="표준 15" xfId="276" xr:uid="{00000000-0005-0000-0000-00009F080000}"/>
    <cellStyle name="표준 16" xfId="296" xr:uid="{00000000-0005-0000-0000-0000A0080000}"/>
    <cellStyle name="표준 17" xfId="316" xr:uid="{00000000-0005-0000-0000-0000A1080000}"/>
    <cellStyle name="표준 18" xfId="336" xr:uid="{00000000-0005-0000-0000-0000A2080000}"/>
    <cellStyle name="표준 19" xfId="356" xr:uid="{00000000-0005-0000-0000-0000A3080000}"/>
    <cellStyle name="표준 2" xfId="1" xr:uid="{00000000-0005-0000-0000-0000A4080000}"/>
    <cellStyle name="표준 2 11 2 10 2 2" xfId="2238" xr:uid="{00000000-0005-0000-0000-0000A5080000}"/>
    <cellStyle name="표준 2 2" xfId="2236" xr:uid="{00000000-0005-0000-0000-0000A6080000}"/>
    <cellStyle name="표준 20" xfId="376" xr:uid="{00000000-0005-0000-0000-0000A7080000}"/>
    <cellStyle name="표준 21" xfId="396" xr:uid="{00000000-0005-0000-0000-0000A8080000}"/>
    <cellStyle name="표준 22" xfId="416" xr:uid="{00000000-0005-0000-0000-0000A9080000}"/>
    <cellStyle name="표준 23" xfId="436" xr:uid="{00000000-0005-0000-0000-0000AA080000}"/>
    <cellStyle name="표준 24" xfId="456" xr:uid="{00000000-0005-0000-0000-0000AB080000}"/>
    <cellStyle name="표준 25" xfId="476" xr:uid="{00000000-0005-0000-0000-0000AC080000}"/>
    <cellStyle name="표준 26" xfId="496" xr:uid="{00000000-0005-0000-0000-0000AD080000}"/>
    <cellStyle name="표준 27" xfId="516" xr:uid="{00000000-0005-0000-0000-0000AE080000}"/>
    <cellStyle name="표준 28" xfId="536" xr:uid="{00000000-0005-0000-0000-0000AF080000}"/>
    <cellStyle name="표준 29" xfId="556" xr:uid="{00000000-0005-0000-0000-0000B0080000}"/>
    <cellStyle name="표준 3" xfId="43" xr:uid="{00000000-0005-0000-0000-0000B1080000}"/>
    <cellStyle name="표준 30" xfId="576" xr:uid="{00000000-0005-0000-0000-0000B2080000}"/>
    <cellStyle name="표준 31" xfId="596" xr:uid="{00000000-0005-0000-0000-0000B3080000}"/>
    <cellStyle name="표준 32" xfId="616" xr:uid="{00000000-0005-0000-0000-0000B4080000}"/>
    <cellStyle name="표준 33" xfId="636" xr:uid="{00000000-0005-0000-0000-0000B5080000}"/>
    <cellStyle name="표준 34" xfId="656" xr:uid="{00000000-0005-0000-0000-0000B6080000}"/>
    <cellStyle name="표준 35" xfId="676" xr:uid="{00000000-0005-0000-0000-0000B7080000}"/>
    <cellStyle name="표준 36" xfId="696" xr:uid="{00000000-0005-0000-0000-0000B8080000}"/>
    <cellStyle name="표준 37" xfId="716" xr:uid="{00000000-0005-0000-0000-0000B9080000}"/>
    <cellStyle name="표준 38" xfId="736" xr:uid="{00000000-0005-0000-0000-0000BA080000}"/>
    <cellStyle name="표준 39" xfId="756" xr:uid="{00000000-0005-0000-0000-0000BB080000}"/>
    <cellStyle name="표준 4" xfId="45" xr:uid="{00000000-0005-0000-0000-0000BC080000}"/>
    <cellStyle name="표준 40" xfId="776" xr:uid="{00000000-0005-0000-0000-0000BD080000}"/>
    <cellStyle name="표준 41" xfId="796" xr:uid="{00000000-0005-0000-0000-0000BE080000}"/>
    <cellStyle name="표준 42" xfId="816" xr:uid="{00000000-0005-0000-0000-0000BF080000}"/>
    <cellStyle name="표준 43" xfId="836" xr:uid="{00000000-0005-0000-0000-0000C0080000}"/>
    <cellStyle name="표준 44" xfId="856" xr:uid="{00000000-0005-0000-0000-0000C1080000}"/>
    <cellStyle name="표준 45" xfId="876" xr:uid="{00000000-0005-0000-0000-0000C2080000}"/>
    <cellStyle name="표준 46" xfId="896" xr:uid="{00000000-0005-0000-0000-0000C3080000}"/>
    <cellStyle name="표준 47" xfId="916" xr:uid="{00000000-0005-0000-0000-0000C4080000}"/>
    <cellStyle name="표준 48" xfId="936" xr:uid="{00000000-0005-0000-0000-0000C5080000}"/>
    <cellStyle name="표준 49" xfId="956" xr:uid="{00000000-0005-0000-0000-0000C6080000}"/>
    <cellStyle name="표준 5" xfId="59" xr:uid="{00000000-0005-0000-0000-0000C7080000}"/>
    <cellStyle name="표준 50" xfId="976" xr:uid="{00000000-0005-0000-0000-0000C8080000}"/>
    <cellStyle name="표준 51" xfId="996" xr:uid="{00000000-0005-0000-0000-0000C9080000}"/>
    <cellStyle name="표준 52" xfId="1016" xr:uid="{00000000-0005-0000-0000-0000CA080000}"/>
    <cellStyle name="표준 53" xfId="1036" xr:uid="{00000000-0005-0000-0000-0000CB080000}"/>
    <cellStyle name="표준 54" xfId="1056" xr:uid="{00000000-0005-0000-0000-0000CC080000}"/>
    <cellStyle name="표준 55" xfId="1076" xr:uid="{00000000-0005-0000-0000-0000CD080000}"/>
    <cellStyle name="표준 56" xfId="1096" xr:uid="{00000000-0005-0000-0000-0000CE080000}"/>
    <cellStyle name="표준 57" xfId="1116" xr:uid="{00000000-0005-0000-0000-0000CF080000}"/>
    <cellStyle name="표준 58" xfId="1136" xr:uid="{00000000-0005-0000-0000-0000D0080000}"/>
    <cellStyle name="표준 59" xfId="1156" xr:uid="{00000000-0005-0000-0000-0000D1080000}"/>
    <cellStyle name="표준 6" xfId="96" xr:uid="{00000000-0005-0000-0000-0000D2080000}"/>
    <cellStyle name="표준 60" xfId="1176" xr:uid="{00000000-0005-0000-0000-0000D3080000}"/>
    <cellStyle name="표준 61" xfId="1196" xr:uid="{00000000-0005-0000-0000-0000D4080000}"/>
    <cellStyle name="표준 62" xfId="1216" xr:uid="{00000000-0005-0000-0000-0000D5080000}"/>
    <cellStyle name="표준 63" xfId="1236" xr:uid="{00000000-0005-0000-0000-0000D6080000}"/>
    <cellStyle name="표준 64" xfId="1256" xr:uid="{00000000-0005-0000-0000-0000D7080000}"/>
    <cellStyle name="표준 65" xfId="1276" xr:uid="{00000000-0005-0000-0000-0000D8080000}"/>
    <cellStyle name="표준 66" xfId="1296" xr:uid="{00000000-0005-0000-0000-0000D9080000}"/>
    <cellStyle name="표준 67" xfId="1316" xr:uid="{00000000-0005-0000-0000-0000DA080000}"/>
    <cellStyle name="표준 68" xfId="1336" xr:uid="{00000000-0005-0000-0000-0000DB080000}"/>
    <cellStyle name="표준 69" xfId="1356" xr:uid="{00000000-0005-0000-0000-0000DC080000}"/>
    <cellStyle name="표준 7" xfId="116" xr:uid="{00000000-0005-0000-0000-0000DD080000}"/>
    <cellStyle name="표준 70" xfId="1376" xr:uid="{00000000-0005-0000-0000-0000DE080000}"/>
    <cellStyle name="표준 71" xfId="1396" xr:uid="{00000000-0005-0000-0000-0000DF080000}"/>
    <cellStyle name="표준 72" xfId="1416" xr:uid="{00000000-0005-0000-0000-0000E0080000}"/>
    <cellStyle name="표준 73" xfId="1436" xr:uid="{00000000-0005-0000-0000-0000E1080000}"/>
    <cellStyle name="표준 74" xfId="1456" xr:uid="{00000000-0005-0000-0000-0000E2080000}"/>
    <cellStyle name="표준 75" xfId="1476" xr:uid="{00000000-0005-0000-0000-0000E3080000}"/>
    <cellStyle name="표준 76" xfId="1496" xr:uid="{00000000-0005-0000-0000-0000E4080000}"/>
    <cellStyle name="표준 77" xfId="1516" xr:uid="{00000000-0005-0000-0000-0000E5080000}"/>
    <cellStyle name="표준 78" xfId="1536" xr:uid="{00000000-0005-0000-0000-0000E6080000}"/>
    <cellStyle name="표준 79" xfId="1556" xr:uid="{00000000-0005-0000-0000-0000E7080000}"/>
    <cellStyle name="표준 8" xfId="136" xr:uid="{00000000-0005-0000-0000-0000E8080000}"/>
    <cellStyle name="표준 80" xfId="1576" xr:uid="{00000000-0005-0000-0000-0000E9080000}"/>
    <cellStyle name="표준 81" xfId="1596" xr:uid="{00000000-0005-0000-0000-0000EA080000}"/>
    <cellStyle name="표준 82" xfId="1616" xr:uid="{00000000-0005-0000-0000-0000EB080000}"/>
    <cellStyle name="표준 83" xfId="1636" xr:uid="{00000000-0005-0000-0000-0000EC080000}"/>
    <cellStyle name="표준 84" xfId="1656" xr:uid="{00000000-0005-0000-0000-0000ED080000}"/>
    <cellStyle name="표준 85" xfId="1676" xr:uid="{00000000-0005-0000-0000-0000EE080000}"/>
    <cellStyle name="표준 86" xfId="1696" xr:uid="{00000000-0005-0000-0000-0000EF080000}"/>
    <cellStyle name="표준 87" xfId="1716" xr:uid="{00000000-0005-0000-0000-0000F0080000}"/>
    <cellStyle name="표준 88" xfId="1736" xr:uid="{00000000-0005-0000-0000-0000F1080000}"/>
    <cellStyle name="표준 89" xfId="1756" xr:uid="{00000000-0005-0000-0000-0000F2080000}"/>
    <cellStyle name="표준 9" xfId="156" xr:uid="{00000000-0005-0000-0000-0000F3080000}"/>
    <cellStyle name="표준 90" xfId="1776" xr:uid="{00000000-0005-0000-0000-0000F4080000}"/>
    <cellStyle name="표준 91" xfId="1796" xr:uid="{00000000-0005-0000-0000-0000F5080000}"/>
    <cellStyle name="표준 92" xfId="1816" xr:uid="{00000000-0005-0000-0000-0000F6080000}"/>
    <cellStyle name="표준 93" xfId="1836" xr:uid="{00000000-0005-0000-0000-0000F7080000}"/>
    <cellStyle name="표준 94" xfId="1856" xr:uid="{00000000-0005-0000-0000-0000F8080000}"/>
    <cellStyle name="표준 95" xfId="1876" xr:uid="{00000000-0005-0000-0000-0000F9080000}"/>
    <cellStyle name="표준 96" xfId="1896" xr:uid="{00000000-0005-0000-0000-0000FA080000}"/>
    <cellStyle name="표준 97" xfId="1916" xr:uid="{00000000-0005-0000-0000-0000FB080000}"/>
    <cellStyle name="표준 98" xfId="1936" xr:uid="{00000000-0005-0000-0000-0000FC080000}"/>
    <cellStyle name="표준 99" xfId="1956" xr:uid="{00000000-0005-0000-0000-0000FD080000}"/>
    <cellStyle name="하이퍼링크" xfId="2259" builtinId="8" customBuiltin="1"/>
  </cellStyles>
  <dxfs count="0"/>
  <tableStyles count="0" defaultTableStyle="TableStyleMedium2" defaultPivotStyle="PivotStyleLight16"/>
  <colors>
    <mruColors>
      <color rgb="FFF828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9" tint="-0.249977111117893"/>
  </sheetPr>
  <dimension ref="A1:Z142"/>
  <sheetViews>
    <sheetView zoomScale="85" zoomScaleNormal="85" workbookViewId="0">
      <selection activeCell="A3" sqref="A3:XFD15"/>
    </sheetView>
  </sheetViews>
  <sheetFormatPr defaultRowHeight="17.399999999999999"/>
  <cols>
    <col min="1" max="1" width="18.296875" bestFit="1" customWidth="1"/>
    <col min="2" max="2" width="24.19921875" customWidth="1"/>
    <col min="3" max="3" width="10.5" bestFit="1" customWidth="1"/>
    <col min="5" max="5" width="12.19921875" bestFit="1" customWidth="1"/>
    <col min="6" max="6" width="12.19921875" customWidth="1"/>
    <col min="7" max="7" width="9" bestFit="1" customWidth="1"/>
    <col min="8" max="8" width="9.69921875" bestFit="1" customWidth="1"/>
    <col min="10" max="10" width="27.796875" bestFit="1" customWidth="1"/>
    <col min="11" max="11" width="24.19921875" bestFit="1" customWidth="1"/>
    <col min="12" max="12" width="24.796875" bestFit="1" customWidth="1"/>
    <col min="13" max="13" width="20.796875" style="46" bestFit="1" customWidth="1"/>
    <col min="14" max="14" width="6.296875" customWidth="1"/>
    <col min="15" max="15" width="4.69921875" customWidth="1"/>
    <col min="16" max="16" width="6.296875" customWidth="1"/>
    <col min="17" max="17" width="8.69921875" customWidth="1"/>
    <col min="18" max="18" width="4.69921875" customWidth="1"/>
    <col min="19" max="19" width="9" customWidth="1"/>
    <col min="20" max="20" width="11.69921875" customWidth="1"/>
    <col min="22" max="22" width="9.69921875" bestFit="1" customWidth="1"/>
    <col min="23" max="24" width="11.19921875" bestFit="1" customWidth="1"/>
    <col min="25" max="25" width="22.796875" bestFit="1" customWidth="1"/>
    <col min="26" max="26" width="9.69921875" bestFit="1" customWidth="1"/>
  </cols>
  <sheetData>
    <row r="1" spans="1:26" ht="21.75" customHeight="1">
      <c r="A1" s="63" t="s">
        <v>17</v>
      </c>
      <c r="B1" s="64"/>
      <c r="C1" s="64"/>
      <c r="D1" s="64"/>
      <c r="E1" s="64"/>
      <c r="F1" s="64"/>
      <c r="G1" s="64"/>
      <c r="H1" s="64"/>
      <c r="I1" s="64"/>
      <c r="J1" s="65"/>
    </row>
    <row r="2" spans="1:26" ht="34.950000000000003" customHeight="1">
      <c r="A2" s="26" t="s">
        <v>18</v>
      </c>
      <c r="B2" s="26" t="s">
        <v>19</v>
      </c>
      <c r="C2" s="26" t="s">
        <v>20</v>
      </c>
      <c r="D2" s="26" t="s">
        <v>21</v>
      </c>
      <c r="E2" s="26" t="s">
        <v>1</v>
      </c>
      <c r="F2" s="26" t="s">
        <v>22</v>
      </c>
      <c r="G2" s="26" t="s">
        <v>23</v>
      </c>
      <c r="H2" s="26" t="s">
        <v>47</v>
      </c>
      <c r="I2" s="26" t="s">
        <v>24</v>
      </c>
      <c r="J2" s="26" t="s">
        <v>25</v>
      </c>
      <c r="K2" s="26" t="s">
        <v>26</v>
      </c>
      <c r="L2" s="26" t="s">
        <v>0</v>
      </c>
      <c r="M2" s="47" t="s">
        <v>27</v>
      </c>
      <c r="N2" s="26" t="s">
        <v>28</v>
      </c>
      <c r="O2" s="26" t="s">
        <v>29</v>
      </c>
      <c r="P2" s="26" t="s">
        <v>30</v>
      </c>
      <c r="Q2" s="26" t="s">
        <v>31</v>
      </c>
      <c r="R2" s="26" t="s">
        <v>32</v>
      </c>
      <c r="S2" s="26" t="s">
        <v>33</v>
      </c>
      <c r="T2" s="26" t="s">
        <v>34</v>
      </c>
      <c r="U2" s="26" t="s">
        <v>10</v>
      </c>
      <c r="V2" s="26" t="s">
        <v>35</v>
      </c>
      <c r="W2" s="26" t="s">
        <v>36</v>
      </c>
      <c r="X2" s="26" t="s">
        <v>37</v>
      </c>
      <c r="Y2" s="26" t="s">
        <v>25</v>
      </c>
      <c r="Z2" s="26" t="s">
        <v>38</v>
      </c>
    </row>
    <row r="3" spans="1:26" ht="34.799999999999997">
      <c r="A3" s="33">
        <v>46105.604641203703</v>
      </c>
      <c r="B3" s="25" t="s">
        <v>100</v>
      </c>
      <c r="C3" s="25" t="s">
        <v>101</v>
      </c>
      <c r="D3" s="25" t="s">
        <v>83</v>
      </c>
      <c r="E3" s="34">
        <v>46105</v>
      </c>
      <c r="F3" s="34">
        <v>46106</v>
      </c>
      <c r="G3" s="25" t="s">
        <v>84</v>
      </c>
      <c r="H3" s="25" t="s">
        <v>91</v>
      </c>
      <c r="I3" s="25"/>
      <c r="J3" s="25" t="s">
        <v>69</v>
      </c>
      <c r="K3" s="25" t="s">
        <v>85</v>
      </c>
      <c r="L3" s="35" t="s">
        <v>93</v>
      </c>
      <c r="M3" s="25">
        <v>8809020345212</v>
      </c>
      <c r="N3" s="35"/>
      <c r="O3" s="25">
        <v>16</v>
      </c>
      <c r="P3" s="25">
        <v>1</v>
      </c>
      <c r="Q3" s="25">
        <v>16</v>
      </c>
      <c r="R3" s="35" t="s">
        <v>86</v>
      </c>
      <c r="S3" s="25">
        <v>2349</v>
      </c>
      <c r="T3" s="25">
        <v>3758</v>
      </c>
      <c r="U3" s="25">
        <v>37584</v>
      </c>
      <c r="V3" s="35" t="s">
        <v>91</v>
      </c>
      <c r="W3" s="34">
        <v>46105</v>
      </c>
      <c r="X3" s="34">
        <v>46106</v>
      </c>
      <c r="Y3" s="25" t="s">
        <v>92</v>
      </c>
      <c r="Z3" s="35" t="s">
        <v>91</v>
      </c>
    </row>
    <row r="4" spans="1:26" ht="34.799999999999997">
      <c r="A4" s="33">
        <v>46105.604641203703</v>
      </c>
      <c r="B4" s="25" t="s">
        <v>100</v>
      </c>
      <c r="C4" s="25" t="s">
        <v>101</v>
      </c>
      <c r="D4" s="25" t="s">
        <v>83</v>
      </c>
      <c r="E4" s="34">
        <v>46105</v>
      </c>
      <c r="F4" s="34">
        <v>46106</v>
      </c>
      <c r="G4" s="25" t="s">
        <v>84</v>
      </c>
      <c r="H4" s="25" t="s">
        <v>91</v>
      </c>
      <c r="I4" s="25"/>
      <c r="J4" s="25" t="s">
        <v>69</v>
      </c>
      <c r="K4" s="25" t="s">
        <v>85</v>
      </c>
      <c r="L4" s="35" t="s">
        <v>97</v>
      </c>
      <c r="M4" s="25">
        <v>8809020348978</v>
      </c>
      <c r="N4" s="35"/>
      <c r="O4" s="25">
        <v>16</v>
      </c>
      <c r="P4" s="25">
        <v>3</v>
      </c>
      <c r="Q4" s="25">
        <v>48</v>
      </c>
      <c r="R4" s="35" t="s">
        <v>86</v>
      </c>
      <c r="S4" s="25">
        <v>2923</v>
      </c>
      <c r="T4" s="25">
        <v>14030</v>
      </c>
      <c r="U4" s="25">
        <v>140304</v>
      </c>
      <c r="V4" s="35" t="s">
        <v>91</v>
      </c>
      <c r="W4" s="34">
        <v>46105</v>
      </c>
      <c r="X4" s="34">
        <v>46106</v>
      </c>
      <c r="Y4" s="25" t="s">
        <v>92</v>
      </c>
      <c r="Z4" s="35" t="s">
        <v>91</v>
      </c>
    </row>
    <row r="5" spans="1:26" ht="34.799999999999997">
      <c r="A5" s="33">
        <v>46105.604618055557</v>
      </c>
      <c r="B5" s="25" t="s">
        <v>102</v>
      </c>
      <c r="C5" s="25" t="s">
        <v>103</v>
      </c>
      <c r="D5" s="25" t="s">
        <v>83</v>
      </c>
      <c r="E5" s="34">
        <v>46105</v>
      </c>
      <c r="F5" s="34">
        <v>46106</v>
      </c>
      <c r="G5" s="25" t="s">
        <v>84</v>
      </c>
      <c r="H5" s="25" t="s">
        <v>104</v>
      </c>
      <c r="I5" s="25"/>
      <c r="J5" s="25" t="s">
        <v>51</v>
      </c>
      <c r="K5" s="25" t="s">
        <v>85</v>
      </c>
      <c r="L5" s="35" t="s">
        <v>98</v>
      </c>
      <c r="M5" s="25">
        <v>8809020345229</v>
      </c>
      <c r="N5" s="35"/>
      <c r="O5" s="25">
        <v>16</v>
      </c>
      <c r="P5" s="25">
        <v>1</v>
      </c>
      <c r="Q5" s="25">
        <v>16</v>
      </c>
      <c r="R5" s="35" t="s">
        <v>86</v>
      </c>
      <c r="S5" s="25">
        <v>2560</v>
      </c>
      <c r="T5" s="25">
        <v>4096</v>
      </c>
      <c r="U5" s="25">
        <v>40960</v>
      </c>
      <c r="V5" s="35" t="s">
        <v>104</v>
      </c>
      <c r="W5" s="34">
        <v>46105</v>
      </c>
      <c r="X5" s="34">
        <v>46106</v>
      </c>
      <c r="Y5" s="25" t="s">
        <v>105</v>
      </c>
      <c r="Z5" s="35" t="s">
        <v>104</v>
      </c>
    </row>
    <row r="6" spans="1:26" ht="34.799999999999997">
      <c r="A6" s="33">
        <v>46105.604513888888</v>
      </c>
      <c r="B6" s="25" t="s">
        <v>106</v>
      </c>
      <c r="C6" s="25" t="s">
        <v>107</v>
      </c>
      <c r="D6" s="25" t="s">
        <v>83</v>
      </c>
      <c r="E6" s="34">
        <v>46105</v>
      </c>
      <c r="F6" s="34">
        <v>46106</v>
      </c>
      <c r="G6" s="25" t="s">
        <v>84</v>
      </c>
      <c r="H6" s="25" t="s">
        <v>108</v>
      </c>
      <c r="I6" s="25"/>
      <c r="J6" s="25" t="s">
        <v>50</v>
      </c>
      <c r="K6" s="25" t="s">
        <v>85</v>
      </c>
      <c r="L6" s="35" t="s">
        <v>99</v>
      </c>
      <c r="M6" s="25">
        <v>8809020343744</v>
      </c>
      <c r="N6" s="35"/>
      <c r="O6" s="25">
        <v>40</v>
      </c>
      <c r="P6" s="25">
        <v>1</v>
      </c>
      <c r="Q6" s="25">
        <v>40</v>
      </c>
      <c r="R6" s="35" t="s">
        <v>86</v>
      </c>
      <c r="S6" s="25">
        <v>1432</v>
      </c>
      <c r="T6" s="25">
        <v>5728</v>
      </c>
      <c r="U6" s="25">
        <v>57280</v>
      </c>
      <c r="V6" s="35" t="s">
        <v>108</v>
      </c>
      <c r="W6" s="34">
        <v>46105</v>
      </c>
      <c r="X6" s="34">
        <v>46106</v>
      </c>
      <c r="Y6" s="25" t="s">
        <v>109</v>
      </c>
      <c r="Z6" s="35" t="s">
        <v>108</v>
      </c>
    </row>
    <row r="7" spans="1:26" ht="34.799999999999997">
      <c r="A7" s="33">
        <v>46105.604513888888</v>
      </c>
      <c r="B7" s="25" t="s">
        <v>106</v>
      </c>
      <c r="C7" s="25" t="s">
        <v>107</v>
      </c>
      <c r="D7" s="25" t="s">
        <v>83</v>
      </c>
      <c r="E7" s="34">
        <v>46105</v>
      </c>
      <c r="F7" s="34">
        <v>46106</v>
      </c>
      <c r="G7" s="25" t="s">
        <v>84</v>
      </c>
      <c r="H7" s="25" t="s">
        <v>108</v>
      </c>
      <c r="I7" s="25"/>
      <c r="J7" s="25" t="s">
        <v>50</v>
      </c>
      <c r="K7" s="25" t="s">
        <v>85</v>
      </c>
      <c r="L7" s="35" t="s">
        <v>98</v>
      </c>
      <c r="M7" s="25">
        <v>8809020345229</v>
      </c>
      <c r="N7" s="35"/>
      <c r="O7" s="25">
        <v>16</v>
      </c>
      <c r="P7" s="25">
        <v>1</v>
      </c>
      <c r="Q7" s="25">
        <v>16</v>
      </c>
      <c r="R7" s="35" t="s">
        <v>86</v>
      </c>
      <c r="S7" s="25">
        <v>2560</v>
      </c>
      <c r="T7" s="25">
        <v>4096</v>
      </c>
      <c r="U7" s="25">
        <v>40960</v>
      </c>
      <c r="V7" s="35" t="s">
        <v>108</v>
      </c>
      <c r="W7" s="34">
        <v>46105</v>
      </c>
      <c r="X7" s="34">
        <v>46106</v>
      </c>
      <c r="Y7" s="25" t="s">
        <v>109</v>
      </c>
      <c r="Z7" s="35" t="s">
        <v>108</v>
      </c>
    </row>
    <row r="8" spans="1:26" ht="34.799999999999997">
      <c r="A8" s="33">
        <v>46105.604456018518</v>
      </c>
      <c r="B8" s="25" t="s">
        <v>110</v>
      </c>
      <c r="C8" s="25" t="s">
        <v>111</v>
      </c>
      <c r="D8" s="25" t="s">
        <v>83</v>
      </c>
      <c r="E8" s="34">
        <v>46105</v>
      </c>
      <c r="F8" s="34">
        <v>46106</v>
      </c>
      <c r="G8" s="25" t="s">
        <v>84</v>
      </c>
      <c r="H8" s="25" t="s">
        <v>112</v>
      </c>
      <c r="I8" s="25"/>
      <c r="J8" s="25" t="s">
        <v>41</v>
      </c>
      <c r="K8" s="25" t="s">
        <v>85</v>
      </c>
      <c r="L8" s="35" t="s">
        <v>93</v>
      </c>
      <c r="M8" s="25">
        <v>8809020345212</v>
      </c>
      <c r="N8" s="35"/>
      <c r="O8" s="25">
        <v>16</v>
      </c>
      <c r="P8" s="25">
        <v>1</v>
      </c>
      <c r="Q8" s="25">
        <v>16</v>
      </c>
      <c r="R8" s="35" t="s">
        <v>86</v>
      </c>
      <c r="S8" s="25">
        <v>2349</v>
      </c>
      <c r="T8" s="25">
        <v>3758</v>
      </c>
      <c r="U8" s="25">
        <v>37584</v>
      </c>
      <c r="V8" s="35" t="s">
        <v>112</v>
      </c>
      <c r="W8" s="34">
        <v>46105</v>
      </c>
      <c r="X8" s="34">
        <v>46106</v>
      </c>
      <c r="Y8" s="25" t="s">
        <v>113</v>
      </c>
      <c r="Z8" s="35" t="s">
        <v>112</v>
      </c>
    </row>
    <row r="9" spans="1:26" ht="34.799999999999997">
      <c r="A9" s="33">
        <v>46105.604456018518</v>
      </c>
      <c r="B9" s="25" t="s">
        <v>110</v>
      </c>
      <c r="C9" s="25" t="s">
        <v>111</v>
      </c>
      <c r="D9" s="25" t="s">
        <v>83</v>
      </c>
      <c r="E9" s="34">
        <v>46105</v>
      </c>
      <c r="F9" s="34">
        <v>46106</v>
      </c>
      <c r="G9" s="25" t="s">
        <v>84</v>
      </c>
      <c r="H9" s="25" t="s">
        <v>112</v>
      </c>
      <c r="I9" s="25"/>
      <c r="J9" s="25" t="s">
        <v>41</v>
      </c>
      <c r="K9" s="25" t="s">
        <v>85</v>
      </c>
      <c r="L9" s="35" t="s">
        <v>98</v>
      </c>
      <c r="M9" s="25">
        <v>8809020345229</v>
      </c>
      <c r="N9" s="35"/>
      <c r="O9" s="25">
        <v>16</v>
      </c>
      <c r="P9" s="25">
        <v>1</v>
      </c>
      <c r="Q9" s="25">
        <v>16</v>
      </c>
      <c r="R9" s="35" t="s">
        <v>86</v>
      </c>
      <c r="S9" s="25">
        <v>2560</v>
      </c>
      <c r="T9" s="25">
        <v>4096</v>
      </c>
      <c r="U9" s="25">
        <v>40960</v>
      </c>
      <c r="V9" s="35" t="s">
        <v>112</v>
      </c>
      <c r="W9" s="34">
        <v>46105</v>
      </c>
      <c r="X9" s="34">
        <v>46106</v>
      </c>
      <c r="Y9" s="25" t="s">
        <v>113</v>
      </c>
      <c r="Z9" s="35" t="s">
        <v>112</v>
      </c>
    </row>
    <row r="10" spans="1:26" ht="34.799999999999997">
      <c r="A10" s="33">
        <v>46105.604456018518</v>
      </c>
      <c r="B10" s="25" t="s">
        <v>110</v>
      </c>
      <c r="C10" s="25" t="s">
        <v>111</v>
      </c>
      <c r="D10" s="25" t="s">
        <v>83</v>
      </c>
      <c r="E10" s="34">
        <v>46105</v>
      </c>
      <c r="F10" s="34">
        <v>46106</v>
      </c>
      <c r="G10" s="25" t="s">
        <v>84</v>
      </c>
      <c r="H10" s="25" t="s">
        <v>112</v>
      </c>
      <c r="I10" s="25"/>
      <c r="J10" s="25" t="s">
        <v>41</v>
      </c>
      <c r="K10" s="25" t="s">
        <v>85</v>
      </c>
      <c r="L10" s="35" t="s">
        <v>80</v>
      </c>
      <c r="M10" s="25">
        <v>8809020344024</v>
      </c>
      <c r="N10" s="35"/>
      <c r="O10" s="25">
        <v>12</v>
      </c>
      <c r="P10" s="25">
        <v>1</v>
      </c>
      <c r="Q10" s="25">
        <v>12</v>
      </c>
      <c r="R10" s="35" t="s">
        <v>86</v>
      </c>
      <c r="S10" s="25">
        <v>4725</v>
      </c>
      <c r="T10" s="25">
        <v>5670</v>
      </c>
      <c r="U10" s="25">
        <v>56700</v>
      </c>
      <c r="V10" s="35" t="s">
        <v>112</v>
      </c>
      <c r="W10" s="34">
        <v>46105</v>
      </c>
      <c r="X10" s="34">
        <v>46106</v>
      </c>
      <c r="Y10" s="25" t="s">
        <v>113</v>
      </c>
      <c r="Z10" s="35" t="s">
        <v>112</v>
      </c>
    </row>
    <row r="11" spans="1:26" ht="34.799999999999997">
      <c r="A11" s="33">
        <v>46105.604386574072</v>
      </c>
      <c r="B11" s="25" t="s">
        <v>114</v>
      </c>
      <c r="C11" s="25" t="s">
        <v>115</v>
      </c>
      <c r="D11" s="25" t="s">
        <v>83</v>
      </c>
      <c r="E11" s="34">
        <v>46105</v>
      </c>
      <c r="F11" s="34">
        <v>46106</v>
      </c>
      <c r="G11" s="25" t="s">
        <v>84</v>
      </c>
      <c r="H11" s="25" t="s">
        <v>95</v>
      </c>
      <c r="I11" s="25"/>
      <c r="J11" s="25" t="s">
        <v>39</v>
      </c>
      <c r="K11" s="25" t="s">
        <v>85</v>
      </c>
      <c r="L11" s="35" t="s">
        <v>99</v>
      </c>
      <c r="M11" s="25">
        <v>8809020343744</v>
      </c>
      <c r="N11" s="35"/>
      <c r="O11" s="25">
        <v>40</v>
      </c>
      <c r="P11" s="25">
        <v>2</v>
      </c>
      <c r="Q11" s="25">
        <v>80</v>
      </c>
      <c r="R11" s="35" t="s">
        <v>86</v>
      </c>
      <c r="S11" s="25">
        <v>1432</v>
      </c>
      <c r="T11" s="25">
        <v>11456</v>
      </c>
      <c r="U11" s="25">
        <v>114560</v>
      </c>
      <c r="V11" s="35" t="s">
        <v>95</v>
      </c>
      <c r="W11" s="34">
        <v>46105</v>
      </c>
      <c r="X11" s="34">
        <v>46106</v>
      </c>
      <c r="Y11" s="25" t="s">
        <v>96</v>
      </c>
      <c r="Z11" s="35" t="s">
        <v>95</v>
      </c>
    </row>
    <row r="12" spans="1:26" ht="34.799999999999997">
      <c r="A12" s="33">
        <v>46105.604386574072</v>
      </c>
      <c r="B12" s="25" t="s">
        <v>114</v>
      </c>
      <c r="C12" s="25" t="s">
        <v>115</v>
      </c>
      <c r="D12" s="25" t="s">
        <v>83</v>
      </c>
      <c r="E12" s="34">
        <v>46105</v>
      </c>
      <c r="F12" s="34">
        <v>46106</v>
      </c>
      <c r="G12" s="25" t="s">
        <v>84</v>
      </c>
      <c r="H12" s="25" t="s">
        <v>95</v>
      </c>
      <c r="I12" s="25"/>
      <c r="J12" s="25" t="s">
        <v>39</v>
      </c>
      <c r="K12" s="25" t="s">
        <v>85</v>
      </c>
      <c r="L12" s="35" t="s">
        <v>93</v>
      </c>
      <c r="M12" s="25">
        <v>8809020345212</v>
      </c>
      <c r="N12" s="35"/>
      <c r="O12" s="25">
        <v>16</v>
      </c>
      <c r="P12" s="25">
        <v>3</v>
      </c>
      <c r="Q12" s="25">
        <v>48</v>
      </c>
      <c r="R12" s="35" t="s">
        <v>86</v>
      </c>
      <c r="S12" s="25">
        <v>2349</v>
      </c>
      <c r="T12" s="25">
        <v>11275</v>
      </c>
      <c r="U12" s="25">
        <v>112752</v>
      </c>
      <c r="V12" s="35" t="s">
        <v>95</v>
      </c>
      <c r="W12" s="34">
        <v>46105</v>
      </c>
      <c r="X12" s="34">
        <v>46106</v>
      </c>
      <c r="Y12" s="25" t="s">
        <v>96</v>
      </c>
      <c r="Z12" s="35" t="s">
        <v>95</v>
      </c>
    </row>
    <row r="13" spans="1:26" ht="34.799999999999997">
      <c r="A13" s="33">
        <v>46105.60428240741</v>
      </c>
      <c r="B13" s="25" t="s">
        <v>116</v>
      </c>
      <c r="C13" s="25" t="s">
        <v>117</v>
      </c>
      <c r="D13" s="25" t="s">
        <v>83</v>
      </c>
      <c r="E13" s="34">
        <v>46105</v>
      </c>
      <c r="F13" s="34">
        <v>46106</v>
      </c>
      <c r="G13" s="25" t="s">
        <v>84</v>
      </c>
      <c r="H13" s="25" t="s">
        <v>89</v>
      </c>
      <c r="I13" s="25"/>
      <c r="J13" s="25" t="s">
        <v>43</v>
      </c>
      <c r="K13" s="25" t="s">
        <v>85</v>
      </c>
      <c r="L13" s="35" t="s">
        <v>99</v>
      </c>
      <c r="M13" s="25">
        <v>8809020343744</v>
      </c>
      <c r="N13" s="35"/>
      <c r="O13" s="25">
        <v>40</v>
      </c>
      <c r="P13" s="25">
        <v>1</v>
      </c>
      <c r="Q13" s="25">
        <v>40</v>
      </c>
      <c r="R13" s="35" t="s">
        <v>86</v>
      </c>
      <c r="S13" s="25">
        <v>1432</v>
      </c>
      <c r="T13" s="25">
        <v>5728</v>
      </c>
      <c r="U13" s="25">
        <v>57280</v>
      </c>
      <c r="V13" s="35" t="s">
        <v>89</v>
      </c>
      <c r="W13" s="34">
        <v>46105</v>
      </c>
      <c r="X13" s="34">
        <v>46106</v>
      </c>
      <c r="Y13" s="25" t="s">
        <v>90</v>
      </c>
      <c r="Z13" s="35" t="s">
        <v>89</v>
      </c>
    </row>
    <row r="14" spans="1:26" ht="34.799999999999997">
      <c r="A14" s="33">
        <v>46105.60428240741</v>
      </c>
      <c r="B14" s="25" t="s">
        <v>116</v>
      </c>
      <c r="C14" s="25" t="s">
        <v>117</v>
      </c>
      <c r="D14" s="25" t="s">
        <v>83</v>
      </c>
      <c r="E14" s="34">
        <v>46105</v>
      </c>
      <c r="F14" s="34">
        <v>46106</v>
      </c>
      <c r="G14" s="25" t="s">
        <v>84</v>
      </c>
      <c r="H14" s="25" t="s">
        <v>89</v>
      </c>
      <c r="I14" s="25"/>
      <c r="J14" s="25" t="s">
        <v>43</v>
      </c>
      <c r="K14" s="25" t="s">
        <v>85</v>
      </c>
      <c r="L14" s="35" t="s">
        <v>93</v>
      </c>
      <c r="M14" s="25">
        <v>8809020345212</v>
      </c>
      <c r="N14" s="35"/>
      <c r="O14" s="25">
        <v>16</v>
      </c>
      <c r="P14" s="25">
        <v>1</v>
      </c>
      <c r="Q14" s="25">
        <v>16</v>
      </c>
      <c r="R14" s="35" t="s">
        <v>86</v>
      </c>
      <c r="S14" s="25">
        <v>2349</v>
      </c>
      <c r="T14" s="25">
        <v>3758</v>
      </c>
      <c r="U14" s="25">
        <v>37584</v>
      </c>
      <c r="V14" s="35" t="s">
        <v>89</v>
      </c>
      <c r="W14" s="34">
        <v>46105</v>
      </c>
      <c r="X14" s="34">
        <v>46106</v>
      </c>
      <c r="Y14" s="25" t="s">
        <v>90</v>
      </c>
      <c r="Z14" s="35" t="s">
        <v>89</v>
      </c>
    </row>
    <row r="15" spans="1:26" ht="34.799999999999997">
      <c r="A15" s="33">
        <v>46105.60428240741</v>
      </c>
      <c r="B15" s="25" t="s">
        <v>116</v>
      </c>
      <c r="C15" s="25" t="s">
        <v>117</v>
      </c>
      <c r="D15" s="25" t="s">
        <v>83</v>
      </c>
      <c r="E15" s="34">
        <v>46105</v>
      </c>
      <c r="F15" s="34">
        <v>46106</v>
      </c>
      <c r="G15" s="25" t="s">
        <v>84</v>
      </c>
      <c r="H15" s="25" t="s">
        <v>89</v>
      </c>
      <c r="I15" s="25"/>
      <c r="J15" s="25" t="s">
        <v>43</v>
      </c>
      <c r="K15" s="25" t="s">
        <v>85</v>
      </c>
      <c r="L15" s="35" t="s">
        <v>80</v>
      </c>
      <c r="M15" s="25">
        <v>8809020344024</v>
      </c>
      <c r="N15" s="35"/>
      <c r="O15" s="25">
        <v>12</v>
      </c>
      <c r="P15" s="25">
        <v>1</v>
      </c>
      <c r="Q15" s="25">
        <v>12</v>
      </c>
      <c r="R15" s="35" t="s">
        <v>86</v>
      </c>
      <c r="S15" s="25">
        <v>4725</v>
      </c>
      <c r="T15" s="25">
        <v>5670</v>
      </c>
      <c r="U15" s="25">
        <v>56700</v>
      </c>
      <c r="V15" s="35" t="s">
        <v>89</v>
      </c>
      <c r="W15" s="34">
        <v>46105</v>
      </c>
      <c r="X15" s="34">
        <v>46106</v>
      </c>
      <c r="Y15" s="25" t="s">
        <v>90</v>
      </c>
      <c r="Z15" s="35" t="s">
        <v>89</v>
      </c>
    </row>
    <row r="16" spans="1:26">
      <c r="A16" s="33"/>
      <c r="B16" s="25"/>
      <c r="C16" s="25"/>
      <c r="D16" s="25"/>
      <c r="E16" s="34"/>
      <c r="F16" s="34"/>
      <c r="G16" s="25"/>
      <c r="H16" s="25"/>
      <c r="I16" s="25"/>
      <c r="J16" s="25"/>
      <c r="K16" s="25"/>
      <c r="L16" s="35"/>
      <c r="M16" s="25"/>
      <c r="N16" s="35"/>
      <c r="O16" s="25"/>
      <c r="P16" s="25"/>
      <c r="Q16" s="25"/>
      <c r="R16" s="35"/>
      <c r="S16" s="25"/>
      <c r="T16" s="25"/>
      <c r="U16" s="25"/>
      <c r="V16" s="35"/>
      <c r="W16" s="34"/>
      <c r="X16" s="34"/>
      <c r="Y16" s="25"/>
      <c r="Z16" s="35"/>
    </row>
    <row r="17" spans="1:26">
      <c r="A17" s="33"/>
      <c r="B17" s="25"/>
      <c r="C17" s="25"/>
      <c r="D17" s="25"/>
      <c r="E17" s="34"/>
      <c r="F17" s="34"/>
      <c r="G17" s="25"/>
      <c r="H17" s="25"/>
      <c r="I17" s="25"/>
      <c r="J17" s="25"/>
      <c r="K17" s="25"/>
      <c r="L17" s="35"/>
      <c r="M17" s="25"/>
      <c r="N17" s="35"/>
      <c r="O17" s="25"/>
      <c r="P17" s="25"/>
      <c r="Q17" s="25"/>
      <c r="R17" s="35"/>
      <c r="S17" s="25"/>
      <c r="T17" s="25"/>
      <c r="U17" s="25"/>
      <c r="V17" s="35"/>
      <c r="W17" s="34"/>
      <c r="X17" s="34"/>
      <c r="Y17" s="25"/>
      <c r="Z17" s="35"/>
    </row>
    <row r="18" spans="1:26">
      <c r="A18" s="33"/>
      <c r="B18" s="25"/>
      <c r="C18" s="25"/>
      <c r="D18" s="25"/>
      <c r="E18" s="34"/>
      <c r="F18" s="34"/>
      <c r="G18" s="25"/>
      <c r="H18" s="25"/>
      <c r="I18" s="25"/>
      <c r="J18" s="25"/>
      <c r="K18" s="25"/>
      <c r="L18" s="35"/>
      <c r="M18" s="25"/>
      <c r="N18" s="35"/>
      <c r="O18" s="25"/>
      <c r="P18" s="25"/>
      <c r="Q18" s="25"/>
      <c r="R18" s="35"/>
      <c r="S18" s="25"/>
      <c r="T18" s="25"/>
      <c r="U18" s="25"/>
      <c r="V18" s="35"/>
      <c r="W18" s="34"/>
      <c r="X18" s="34"/>
      <c r="Y18" s="25"/>
      <c r="Z18" s="35"/>
    </row>
    <row r="19" spans="1:26">
      <c r="A19" s="33"/>
      <c r="B19" s="25"/>
      <c r="C19" s="25"/>
      <c r="D19" s="25"/>
      <c r="E19" s="34"/>
      <c r="F19" s="34"/>
      <c r="G19" s="25"/>
      <c r="H19" s="25"/>
      <c r="I19" s="25"/>
      <c r="J19" s="25"/>
      <c r="K19" s="25"/>
      <c r="L19" s="35"/>
      <c r="M19" s="25"/>
      <c r="N19" s="35"/>
      <c r="O19" s="25"/>
      <c r="P19" s="25"/>
      <c r="Q19" s="25"/>
      <c r="R19" s="35"/>
      <c r="S19" s="25"/>
      <c r="T19" s="25"/>
      <c r="U19" s="25"/>
      <c r="V19" s="35"/>
      <c r="W19" s="34"/>
      <c r="X19" s="34"/>
      <c r="Y19" s="25"/>
      <c r="Z19" s="35"/>
    </row>
    <row r="20" spans="1:26">
      <c r="A20" s="33"/>
      <c r="B20" s="25"/>
      <c r="C20" s="25"/>
      <c r="D20" s="25"/>
      <c r="E20" s="34"/>
      <c r="F20" s="34"/>
      <c r="G20" s="25"/>
      <c r="H20" s="25"/>
      <c r="I20" s="25"/>
      <c r="J20" s="25"/>
      <c r="K20" s="25"/>
      <c r="L20" s="35"/>
      <c r="M20" s="25"/>
      <c r="N20" s="35"/>
      <c r="O20" s="25"/>
      <c r="P20" s="25"/>
      <c r="Q20" s="25"/>
      <c r="R20" s="35"/>
      <c r="S20" s="25"/>
      <c r="T20" s="25"/>
      <c r="U20" s="25"/>
      <c r="V20" s="35"/>
      <c r="W20" s="34"/>
      <c r="X20" s="34"/>
      <c r="Y20" s="25"/>
      <c r="Z20" s="35"/>
    </row>
    <row r="21" spans="1:26">
      <c r="A21" s="33"/>
      <c r="B21" s="25"/>
      <c r="C21" s="25"/>
      <c r="D21" s="25"/>
      <c r="E21" s="34"/>
      <c r="F21" s="34"/>
      <c r="G21" s="25"/>
      <c r="H21" s="25"/>
      <c r="I21" s="25"/>
      <c r="J21" s="25"/>
      <c r="K21" s="25"/>
      <c r="L21" s="35"/>
      <c r="M21" s="25"/>
      <c r="N21" s="35"/>
      <c r="O21" s="25"/>
      <c r="P21" s="25"/>
      <c r="Q21" s="25"/>
      <c r="R21" s="35"/>
      <c r="S21" s="25"/>
      <c r="T21" s="25"/>
      <c r="U21" s="25"/>
      <c r="V21" s="35"/>
      <c r="W21" s="34"/>
      <c r="X21" s="34"/>
      <c r="Y21" s="25"/>
      <c r="Z21" s="35"/>
    </row>
    <row r="22" spans="1:26">
      <c r="A22" s="33"/>
      <c r="B22" s="25"/>
      <c r="C22" s="25"/>
      <c r="D22" s="25"/>
      <c r="E22" s="34"/>
      <c r="F22" s="34"/>
      <c r="G22" s="25"/>
      <c r="H22" s="25"/>
      <c r="I22" s="25"/>
      <c r="J22" s="25"/>
      <c r="K22" s="25"/>
      <c r="L22" s="35"/>
      <c r="M22" s="25"/>
      <c r="N22" s="35"/>
      <c r="O22" s="25"/>
      <c r="P22" s="25"/>
      <c r="Q22" s="25"/>
      <c r="R22" s="35"/>
      <c r="S22" s="25"/>
      <c r="T22" s="25"/>
      <c r="U22" s="25"/>
      <c r="V22" s="35"/>
      <c r="W22" s="34"/>
      <c r="X22" s="34"/>
      <c r="Y22" s="25"/>
      <c r="Z22" s="35"/>
    </row>
    <row r="23" spans="1:26">
      <c r="A23" s="33"/>
      <c r="B23" s="25"/>
      <c r="C23" s="25"/>
      <c r="D23" s="25"/>
      <c r="E23" s="34"/>
      <c r="F23" s="34"/>
      <c r="G23" s="25"/>
      <c r="H23" s="25"/>
      <c r="I23" s="25"/>
      <c r="J23" s="25"/>
      <c r="K23" s="25"/>
      <c r="L23" s="35"/>
      <c r="M23" s="25"/>
      <c r="N23" s="35"/>
      <c r="O23" s="25"/>
      <c r="P23" s="25"/>
      <c r="Q23" s="25"/>
      <c r="R23" s="35"/>
      <c r="S23" s="25"/>
      <c r="T23" s="25"/>
      <c r="U23" s="25"/>
      <c r="V23" s="35"/>
      <c r="W23" s="34"/>
      <c r="X23" s="34"/>
      <c r="Y23" s="25"/>
      <c r="Z23" s="35"/>
    </row>
    <row r="24" spans="1:26">
      <c r="A24" s="33"/>
      <c r="B24" s="25"/>
      <c r="C24" s="25"/>
      <c r="D24" s="25"/>
      <c r="E24" s="34"/>
      <c r="F24" s="34"/>
      <c r="G24" s="25"/>
      <c r="H24" s="25"/>
      <c r="I24" s="25"/>
      <c r="J24" s="25"/>
      <c r="K24" s="25"/>
      <c r="L24" s="35"/>
      <c r="M24" s="25"/>
      <c r="N24" s="35"/>
      <c r="O24" s="25"/>
      <c r="P24" s="25"/>
      <c r="Q24" s="25"/>
      <c r="R24" s="35"/>
      <c r="S24" s="25"/>
      <c r="T24" s="25"/>
      <c r="U24" s="25"/>
      <c r="V24" s="35"/>
      <c r="W24" s="34"/>
      <c r="X24" s="34"/>
      <c r="Y24" s="25"/>
      <c r="Z24" s="35"/>
    </row>
    <row r="25" spans="1:26">
      <c r="A25" s="33"/>
      <c r="B25" s="25"/>
      <c r="C25" s="25"/>
      <c r="D25" s="25"/>
      <c r="E25" s="34"/>
      <c r="F25" s="34"/>
      <c r="G25" s="25"/>
      <c r="H25" s="25"/>
      <c r="I25" s="25"/>
      <c r="J25" s="25"/>
      <c r="K25" s="25"/>
      <c r="L25" s="35"/>
      <c r="M25" s="25"/>
      <c r="N25" s="35"/>
      <c r="O25" s="25"/>
      <c r="P25" s="25"/>
      <c r="Q25" s="25"/>
      <c r="R25" s="35"/>
      <c r="S25" s="25"/>
      <c r="T25" s="25"/>
      <c r="U25" s="25"/>
      <c r="V25" s="35"/>
      <c r="W25" s="34"/>
      <c r="X25" s="34"/>
      <c r="Y25" s="25"/>
      <c r="Z25" s="35"/>
    </row>
    <row r="26" spans="1:26">
      <c r="A26" s="33"/>
      <c r="B26" s="25"/>
      <c r="C26" s="25"/>
      <c r="D26" s="25"/>
      <c r="E26" s="34"/>
      <c r="F26" s="34"/>
      <c r="G26" s="25"/>
      <c r="H26" s="25"/>
      <c r="I26" s="25"/>
      <c r="J26" s="25"/>
      <c r="K26" s="25"/>
      <c r="L26" s="35"/>
      <c r="M26" s="25"/>
      <c r="N26" s="35"/>
      <c r="O26" s="25"/>
      <c r="P26" s="25"/>
      <c r="Q26" s="25"/>
      <c r="R26" s="35"/>
      <c r="S26" s="25"/>
      <c r="T26" s="25"/>
      <c r="U26" s="25"/>
      <c r="V26" s="35"/>
      <c r="W26" s="34"/>
      <c r="X26" s="34"/>
      <c r="Y26" s="25"/>
      <c r="Z26" s="35"/>
    </row>
    <row r="27" spans="1:26">
      <c r="A27" s="33"/>
      <c r="B27" s="25"/>
      <c r="C27" s="25"/>
      <c r="D27" s="25"/>
      <c r="E27" s="34"/>
      <c r="F27" s="34"/>
      <c r="G27" s="25"/>
      <c r="H27" s="25"/>
      <c r="I27" s="25"/>
      <c r="J27" s="25"/>
      <c r="K27" s="25"/>
      <c r="L27" s="35"/>
      <c r="M27" s="25"/>
      <c r="N27" s="35"/>
      <c r="O27" s="25"/>
      <c r="P27" s="25"/>
      <c r="Q27" s="25"/>
      <c r="R27" s="35"/>
      <c r="S27" s="25"/>
      <c r="T27" s="25"/>
      <c r="U27" s="25"/>
      <c r="V27" s="35"/>
      <c r="W27" s="34"/>
      <c r="X27" s="34"/>
      <c r="Y27" s="25"/>
      <c r="Z27" s="35"/>
    </row>
    <row r="28" spans="1:26">
      <c r="A28" s="33"/>
      <c r="B28" s="25"/>
      <c r="C28" s="25"/>
      <c r="D28" s="25"/>
      <c r="E28" s="34"/>
      <c r="F28" s="34"/>
      <c r="G28" s="25"/>
      <c r="H28" s="25"/>
      <c r="I28" s="25"/>
      <c r="J28" s="25"/>
      <c r="K28" s="25"/>
      <c r="L28" s="35"/>
      <c r="M28" s="25"/>
      <c r="N28" s="35"/>
      <c r="O28" s="25"/>
      <c r="P28" s="25"/>
      <c r="Q28" s="25"/>
      <c r="R28" s="35"/>
      <c r="S28" s="25"/>
      <c r="T28" s="25"/>
      <c r="U28" s="25"/>
      <c r="V28" s="35"/>
      <c r="W28" s="34"/>
      <c r="X28" s="34"/>
      <c r="Y28" s="25"/>
      <c r="Z28" s="35"/>
    </row>
    <row r="29" spans="1:26">
      <c r="A29" s="33"/>
      <c r="B29" s="25"/>
      <c r="C29" s="25"/>
      <c r="D29" s="25"/>
      <c r="E29" s="34"/>
      <c r="F29" s="34"/>
      <c r="G29" s="25"/>
      <c r="H29" s="25"/>
      <c r="I29" s="25"/>
      <c r="J29" s="25"/>
      <c r="K29" s="25"/>
      <c r="L29" s="35"/>
      <c r="M29" s="25"/>
      <c r="N29" s="35"/>
      <c r="O29" s="25"/>
      <c r="P29" s="25"/>
      <c r="Q29" s="25"/>
      <c r="R29" s="35"/>
      <c r="S29" s="25"/>
      <c r="T29" s="25"/>
      <c r="U29" s="25"/>
      <c r="V29" s="35"/>
      <c r="W29" s="34"/>
      <c r="X29" s="34"/>
      <c r="Y29" s="25"/>
      <c r="Z29" s="35"/>
    </row>
    <row r="30" spans="1:26">
      <c r="A30" s="33"/>
      <c r="B30" s="25"/>
      <c r="C30" s="25"/>
      <c r="D30" s="25"/>
      <c r="E30" s="34"/>
      <c r="F30" s="34"/>
      <c r="G30" s="25"/>
      <c r="H30" s="25"/>
      <c r="I30" s="25"/>
      <c r="J30" s="25"/>
      <c r="K30" s="25"/>
      <c r="L30" s="35"/>
      <c r="M30" s="25"/>
      <c r="N30" s="35"/>
      <c r="O30" s="25"/>
      <c r="P30" s="25"/>
      <c r="Q30" s="25"/>
      <c r="R30" s="35"/>
      <c r="S30" s="25"/>
      <c r="T30" s="25"/>
      <c r="U30" s="25"/>
      <c r="V30" s="35"/>
      <c r="W30" s="34"/>
      <c r="X30" s="34"/>
      <c r="Y30" s="25"/>
      <c r="Z30" s="35"/>
    </row>
    <row r="31" spans="1:26">
      <c r="A31" s="33"/>
      <c r="B31" s="25"/>
      <c r="C31" s="25"/>
      <c r="D31" s="25"/>
      <c r="E31" s="34"/>
      <c r="F31" s="34"/>
      <c r="G31" s="25"/>
      <c r="H31" s="25"/>
      <c r="I31" s="25"/>
      <c r="J31" s="25"/>
      <c r="K31" s="25"/>
      <c r="L31" s="35"/>
      <c r="M31" s="25"/>
      <c r="N31" s="35"/>
      <c r="O31" s="25"/>
      <c r="P31" s="25"/>
      <c r="Q31" s="25"/>
      <c r="R31" s="35"/>
      <c r="S31" s="25"/>
      <c r="T31" s="25"/>
      <c r="U31" s="25"/>
      <c r="V31" s="35"/>
      <c r="W31" s="34"/>
      <c r="X31" s="34"/>
      <c r="Y31" s="25"/>
      <c r="Z31" s="35"/>
    </row>
    <row r="32" spans="1:26">
      <c r="A32" s="33"/>
      <c r="B32" s="25"/>
      <c r="C32" s="25"/>
      <c r="D32" s="25"/>
      <c r="E32" s="34"/>
      <c r="F32" s="34"/>
      <c r="G32" s="25"/>
      <c r="H32" s="25"/>
      <c r="I32" s="25"/>
      <c r="J32" s="25"/>
      <c r="K32" s="25"/>
      <c r="L32" s="35"/>
      <c r="M32" s="25"/>
      <c r="N32" s="35"/>
      <c r="O32" s="25"/>
      <c r="P32" s="25"/>
      <c r="Q32" s="25"/>
      <c r="R32" s="35"/>
      <c r="S32" s="25"/>
      <c r="T32" s="25"/>
      <c r="U32" s="25"/>
      <c r="V32" s="35"/>
      <c r="W32" s="34"/>
      <c r="X32" s="34"/>
      <c r="Y32" s="25"/>
      <c r="Z32" s="35"/>
    </row>
    <row r="33" spans="1:26">
      <c r="A33" s="33"/>
      <c r="B33" s="25"/>
      <c r="C33" s="25"/>
      <c r="D33" s="25"/>
      <c r="E33" s="34"/>
      <c r="F33" s="34"/>
      <c r="G33" s="25"/>
      <c r="H33" s="25"/>
      <c r="I33" s="25"/>
      <c r="J33" s="25"/>
      <c r="K33" s="25"/>
      <c r="L33" s="35"/>
      <c r="M33" s="25"/>
      <c r="N33" s="35"/>
      <c r="O33" s="25"/>
      <c r="P33" s="25"/>
      <c r="Q33" s="25"/>
      <c r="R33" s="35"/>
      <c r="S33" s="25"/>
      <c r="T33" s="25"/>
      <c r="U33" s="25"/>
      <c r="V33" s="35"/>
      <c r="W33" s="34"/>
      <c r="X33" s="34"/>
      <c r="Y33" s="25"/>
      <c r="Z33" s="35"/>
    </row>
    <row r="34" spans="1:26">
      <c r="M34"/>
    </row>
    <row r="35" spans="1:26">
      <c r="A35" s="57"/>
      <c r="B35" s="56"/>
      <c r="C35" s="56"/>
      <c r="D35" s="56"/>
      <c r="E35" s="58"/>
      <c r="F35" s="58"/>
      <c r="G35" s="56"/>
      <c r="H35" s="56"/>
      <c r="I35" s="56"/>
      <c r="J35" s="56"/>
      <c r="K35" s="56"/>
      <c r="L35" s="59"/>
      <c r="M35" s="56"/>
      <c r="N35" s="59"/>
      <c r="O35" s="56"/>
      <c r="P35" s="56"/>
      <c r="Q35" s="56"/>
      <c r="R35" s="59"/>
      <c r="S35" s="56"/>
      <c r="T35" s="56"/>
      <c r="U35" s="56"/>
      <c r="V35" s="59"/>
      <c r="W35" s="58"/>
      <c r="X35" s="58"/>
      <c r="Y35" s="56"/>
      <c r="Z35" s="59"/>
    </row>
    <row r="36" spans="1:26">
      <c r="A36" s="57"/>
      <c r="B36" s="56"/>
      <c r="C36" s="56"/>
      <c r="D36" s="56"/>
      <c r="E36" s="58"/>
      <c r="F36" s="58"/>
      <c r="G36" s="56"/>
      <c r="H36" s="56"/>
      <c r="I36" s="56"/>
      <c r="J36" s="56"/>
      <c r="K36" s="56"/>
      <c r="L36" s="59"/>
      <c r="M36" s="56"/>
      <c r="N36" s="59"/>
      <c r="O36" s="56"/>
      <c r="P36" s="56"/>
      <c r="Q36" s="56"/>
      <c r="R36" s="59"/>
      <c r="S36" s="56"/>
      <c r="T36" s="56"/>
      <c r="U36" s="56"/>
      <c r="V36" s="59"/>
      <c r="W36" s="58"/>
      <c r="X36" s="58"/>
      <c r="Y36" s="56"/>
      <c r="Z36" s="59"/>
    </row>
    <row r="37" spans="1:26">
      <c r="A37" s="33"/>
      <c r="B37" s="25"/>
      <c r="C37" s="25"/>
      <c r="D37" s="25"/>
      <c r="E37" s="34"/>
      <c r="F37" s="34"/>
      <c r="G37" s="25"/>
      <c r="H37" s="25"/>
      <c r="I37" s="25"/>
      <c r="J37" s="25"/>
      <c r="K37" s="25"/>
      <c r="L37" s="35"/>
      <c r="M37" s="25"/>
      <c r="N37" s="35"/>
      <c r="O37" s="25"/>
      <c r="P37" s="25"/>
      <c r="Q37" s="25"/>
      <c r="R37" s="35"/>
      <c r="S37" s="25"/>
      <c r="T37" s="25"/>
      <c r="U37" s="25"/>
      <c r="V37" s="35"/>
      <c r="W37" s="34"/>
      <c r="X37" s="34"/>
      <c r="Y37" s="25"/>
      <c r="Z37" s="35"/>
    </row>
    <row r="38" spans="1:26">
      <c r="A38" s="33"/>
      <c r="B38" s="25"/>
      <c r="C38" s="25"/>
      <c r="D38" s="25"/>
      <c r="E38" s="34"/>
      <c r="F38" s="34"/>
      <c r="G38" s="25"/>
      <c r="H38" s="25"/>
      <c r="I38" s="25"/>
      <c r="J38" s="25"/>
      <c r="K38" s="25"/>
      <c r="L38" s="35"/>
      <c r="M38" s="25"/>
      <c r="N38" s="35"/>
      <c r="O38" s="25"/>
      <c r="P38" s="25"/>
      <c r="Q38" s="25"/>
      <c r="R38" s="35"/>
      <c r="S38" s="25"/>
      <c r="T38" s="25"/>
      <c r="U38" s="25"/>
      <c r="V38" s="35"/>
      <c r="W38" s="34"/>
      <c r="X38" s="34"/>
      <c r="Y38" s="25"/>
      <c r="Z38" s="35"/>
    </row>
    <row r="39" spans="1:26">
      <c r="A39" s="33"/>
      <c r="B39" s="25"/>
      <c r="C39" s="25"/>
      <c r="D39" s="25"/>
      <c r="E39" s="34"/>
      <c r="F39" s="34"/>
      <c r="G39" s="25"/>
      <c r="H39" s="25"/>
      <c r="I39" s="25"/>
      <c r="J39" s="25"/>
      <c r="K39" s="25"/>
      <c r="L39" s="35"/>
      <c r="M39" s="25"/>
      <c r="N39" s="35"/>
      <c r="O39" s="25"/>
      <c r="P39" s="25"/>
      <c r="Q39" s="25"/>
      <c r="R39" s="35"/>
      <c r="S39" s="25"/>
      <c r="T39" s="25"/>
      <c r="U39" s="25"/>
      <c r="V39" s="35"/>
      <c r="W39" s="34"/>
      <c r="X39" s="34"/>
      <c r="Y39" s="25"/>
      <c r="Z39" s="35"/>
    </row>
    <row r="40" spans="1:26">
      <c r="A40" s="33"/>
      <c r="B40" s="25"/>
      <c r="C40" s="25"/>
      <c r="D40" s="25"/>
      <c r="E40" s="34"/>
      <c r="F40" s="34"/>
      <c r="G40" s="25"/>
      <c r="H40" s="25"/>
      <c r="I40" s="25"/>
      <c r="J40" s="25"/>
      <c r="K40" s="25"/>
      <c r="L40" s="35"/>
      <c r="M40" s="25"/>
      <c r="N40" s="35"/>
      <c r="O40" s="25"/>
      <c r="P40" s="25"/>
      <c r="Q40" s="25"/>
      <c r="R40" s="35"/>
      <c r="S40" s="25"/>
      <c r="T40" s="25"/>
      <c r="U40" s="25"/>
      <c r="V40" s="35"/>
      <c r="W40" s="34"/>
      <c r="X40" s="34"/>
      <c r="Y40" s="25"/>
      <c r="Z40" s="35"/>
    </row>
    <row r="41" spans="1:26">
      <c r="A41" s="33"/>
      <c r="B41" s="25"/>
      <c r="C41" s="25"/>
      <c r="D41" s="25"/>
      <c r="E41" s="34"/>
      <c r="F41" s="34"/>
      <c r="G41" s="25"/>
      <c r="H41" s="25"/>
      <c r="I41" s="25"/>
      <c r="J41" s="25"/>
      <c r="K41" s="25"/>
      <c r="L41" s="35"/>
      <c r="M41" s="25"/>
      <c r="N41" s="35"/>
      <c r="O41" s="25"/>
      <c r="P41" s="25"/>
      <c r="Q41" s="25"/>
      <c r="R41" s="35"/>
      <c r="S41" s="25"/>
      <c r="T41" s="25"/>
      <c r="U41" s="25"/>
      <c r="V41" s="35"/>
      <c r="W41" s="34"/>
      <c r="X41" s="34"/>
      <c r="Y41" s="25"/>
      <c r="Z41" s="35"/>
    </row>
    <row r="42" spans="1:26">
      <c r="A42" s="33"/>
      <c r="B42" s="25"/>
      <c r="C42" s="25"/>
      <c r="D42" s="25"/>
      <c r="E42" s="34"/>
      <c r="F42" s="34"/>
      <c r="G42" s="25"/>
      <c r="H42" s="25"/>
      <c r="I42" s="25"/>
      <c r="J42" s="25"/>
      <c r="K42" s="25"/>
      <c r="L42" s="35"/>
      <c r="M42" s="25"/>
      <c r="N42" s="35"/>
      <c r="O42" s="25"/>
      <c r="P42" s="25"/>
      <c r="Q42" s="25"/>
      <c r="R42" s="35"/>
      <c r="S42" s="25"/>
      <c r="T42" s="25"/>
      <c r="U42" s="25"/>
      <c r="V42" s="35"/>
      <c r="W42" s="34"/>
      <c r="X42" s="34"/>
      <c r="Y42" s="25"/>
      <c r="Z42" s="35"/>
    </row>
    <row r="43" spans="1:26">
      <c r="A43" s="33"/>
      <c r="B43" s="25"/>
      <c r="C43" s="25"/>
      <c r="D43" s="25"/>
      <c r="E43" s="34"/>
      <c r="F43" s="34"/>
      <c r="G43" s="25"/>
      <c r="H43" s="25"/>
      <c r="I43" s="25"/>
      <c r="J43" s="25"/>
      <c r="K43" s="25"/>
      <c r="L43" s="35"/>
      <c r="M43" s="25"/>
      <c r="N43" s="35"/>
      <c r="O43" s="25"/>
      <c r="P43" s="25"/>
      <c r="Q43" s="25"/>
      <c r="R43" s="35"/>
      <c r="S43" s="25"/>
      <c r="T43" s="25"/>
      <c r="U43" s="25"/>
      <c r="V43" s="35"/>
      <c r="W43" s="34"/>
      <c r="X43" s="34"/>
      <c r="Y43" s="25"/>
      <c r="Z43" s="35"/>
    </row>
    <row r="44" spans="1:26">
      <c r="A44" s="33"/>
      <c r="B44" s="25"/>
      <c r="C44" s="25"/>
      <c r="D44" s="25"/>
      <c r="E44" s="34"/>
      <c r="F44" s="34"/>
      <c r="G44" s="25"/>
      <c r="H44" s="25"/>
      <c r="I44" s="25"/>
      <c r="J44" s="25"/>
      <c r="K44" s="25"/>
      <c r="L44" s="35"/>
      <c r="M44" s="25"/>
      <c r="N44" s="35"/>
      <c r="O44" s="25"/>
      <c r="P44" s="25"/>
      <c r="Q44" s="25"/>
      <c r="R44" s="35"/>
      <c r="S44" s="25"/>
      <c r="T44" s="25"/>
      <c r="U44" s="25"/>
      <c r="V44" s="35"/>
      <c r="W44" s="34"/>
      <c r="X44" s="34"/>
      <c r="Y44" s="25"/>
      <c r="Z44" s="35"/>
    </row>
    <row r="45" spans="1:26">
      <c r="A45" s="33"/>
      <c r="B45" s="25"/>
      <c r="C45" s="25"/>
      <c r="D45" s="25"/>
      <c r="E45" s="34"/>
      <c r="F45" s="34"/>
      <c r="G45" s="25"/>
      <c r="H45" s="25"/>
      <c r="I45" s="25"/>
      <c r="J45" s="25"/>
      <c r="K45" s="25"/>
      <c r="L45" s="35"/>
      <c r="M45" s="25"/>
      <c r="N45" s="35"/>
      <c r="O45" s="25"/>
      <c r="P45" s="25"/>
      <c r="Q45" s="25"/>
      <c r="R45" s="35"/>
      <c r="S45" s="25"/>
      <c r="T45" s="25"/>
      <c r="U45" s="25"/>
      <c r="V45" s="35"/>
      <c r="W45" s="34"/>
      <c r="X45" s="34"/>
      <c r="Y45" s="25"/>
      <c r="Z45" s="35"/>
    </row>
    <row r="46" spans="1:26">
      <c r="A46" s="33"/>
      <c r="B46" s="25"/>
      <c r="C46" s="25"/>
      <c r="D46" s="25"/>
      <c r="E46" s="34"/>
      <c r="F46" s="34"/>
      <c r="G46" s="25"/>
      <c r="H46" s="25"/>
      <c r="I46" s="25"/>
      <c r="J46" s="25"/>
      <c r="K46" s="25"/>
      <c r="L46" s="35"/>
      <c r="M46" s="25"/>
      <c r="N46" s="35"/>
      <c r="O46" s="25"/>
      <c r="P46" s="25"/>
      <c r="Q46" s="25"/>
      <c r="R46" s="35"/>
      <c r="S46" s="25"/>
      <c r="T46" s="25"/>
      <c r="U46" s="25"/>
      <c r="V46" s="35"/>
      <c r="W46" s="34"/>
      <c r="X46" s="34"/>
      <c r="Y46" s="25"/>
      <c r="Z46" s="35"/>
    </row>
    <row r="47" spans="1:26">
      <c r="M47"/>
    </row>
    <row r="48" spans="1:26">
      <c r="A48" s="57"/>
      <c r="B48" s="56"/>
      <c r="C48" s="56"/>
      <c r="D48" s="56"/>
      <c r="E48" s="58"/>
      <c r="F48" s="58"/>
      <c r="G48" s="56"/>
      <c r="H48" s="56"/>
      <c r="I48" s="56"/>
      <c r="J48" s="56"/>
      <c r="K48" s="56"/>
      <c r="L48" s="59"/>
      <c r="M48" s="56"/>
      <c r="N48" s="59"/>
      <c r="O48" s="56"/>
      <c r="P48" s="56"/>
      <c r="Q48" s="56"/>
      <c r="R48" s="59"/>
      <c r="S48" s="56"/>
      <c r="T48" s="56"/>
      <c r="U48" s="56"/>
      <c r="V48" s="59"/>
      <c r="W48" s="58"/>
      <c r="X48" s="58"/>
      <c r="Y48" s="56"/>
      <c r="Z48" s="59"/>
    </row>
    <row r="49" spans="1:26">
      <c r="A49" s="57"/>
      <c r="B49" s="56"/>
      <c r="C49" s="56"/>
      <c r="D49" s="56"/>
      <c r="E49" s="58"/>
      <c r="F49" s="58"/>
      <c r="G49" s="56"/>
      <c r="H49" s="56"/>
      <c r="I49" s="56"/>
      <c r="J49" s="56"/>
      <c r="K49" s="56"/>
      <c r="L49" s="59"/>
      <c r="M49" s="56"/>
      <c r="N49" s="59"/>
      <c r="O49" s="56"/>
      <c r="P49" s="56"/>
      <c r="Q49" s="56"/>
      <c r="R49" s="59"/>
      <c r="S49" s="56"/>
      <c r="T49" s="56"/>
      <c r="U49" s="56"/>
      <c r="V49" s="59"/>
      <c r="W49" s="58"/>
      <c r="X49" s="58"/>
      <c r="Y49" s="56"/>
      <c r="Z49" s="59"/>
    </row>
    <row r="50" spans="1:26">
      <c r="A50" s="33"/>
      <c r="B50" s="25"/>
      <c r="C50" s="25"/>
      <c r="D50" s="25"/>
      <c r="E50" s="34"/>
      <c r="F50" s="34"/>
      <c r="G50" s="25"/>
      <c r="H50" s="25"/>
      <c r="I50" s="25"/>
      <c r="J50" s="25"/>
      <c r="K50" s="25"/>
      <c r="L50" s="35"/>
      <c r="M50" s="25"/>
      <c r="N50" s="35"/>
      <c r="O50" s="25"/>
      <c r="P50" s="25"/>
      <c r="Q50" s="25"/>
      <c r="R50" s="35"/>
      <c r="S50" s="25"/>
      <c r="T50" s="25"/>
      <c r="U50" s="25"/>
      <c r="V50" s="35"/>
      <c r="W50" s="34"/>
      <c r="X50" s="34"/>
      <c r="Y50" s="25"/>
      <c r="Z50" s="35"/>
    </row>
    <row r="51" spans="1:26">
      <c r="A51" s="33"/>
      <c r="B51" s="25"/>
      <c r="C51" s="25"/>
      <c r="D51" s="25"/>
      <c r="E51" s="34"/>
      <c r="F51" s="34"/>
      <c r="G51" s="25"/>
      <c r="H51" s="25"/>
      <c r="I51" s="25"/>
      <c r="J51" s="25"/>
      <c r="K51" s="25"/>
      <c r="L51" s="35"/>
      <c r="M51" s="25"/>
      <c r="N51" s="35"/>
      <c r="O51" s="25"/>
      <c r="P51" s="25"/>
      <c r="Q51" s="25"/>
      <c r="R51" s="35"/>
      <c r="S51" s="25"/>
      <c r="T51" s="25"/>
      <c r="U51" s="25"/>
      <c r="V51" s="35"/>
      <c r="W51" s="34"/>
      <c r="X51" s="34"/>
      <c r="Y51" s="25"/>
      <c r="Z51" s="35"/>
    </row>
    <row r="52" spans="1:26">
      <c r="A52" s="33"/>
      <c r="B52" s="25"/>
      <c r="C52" s="25"/>
      <c r="D52" s="25"/>
      <c r="E52" s="34"/>
      <c r="F52" s="34"/>
      <c r="G52" s="25"/>
      <c r="H52" s="25"/>
      <c r="I52" s="25"/>
      <c r="J52" s="25"/>
      <c r="K52" s="25"/>
      <c r="L52" s="35"/>
      <c r="M52" s="25"/>
      <c r="N52" s="35"/>
      <c r="O52" s="25"/>
      <c r="P52" s="25"/>
      <c r="Q52" s="25"/>
      <c r="R52" s="35"/>
      <c r="S52" s="25"/>
      <c r="T52" s="25"/>
      <c r="U52" s="25"/>
      <c r="V52" s="35"/>
      <c r="W52" s="34"/>
      <c r="X52" s="34"/>
      <c r="Y52" s="25"/>
      <c r="Z52" s="35"/>
    </row>
    <row r="53" spans="1:26">
      <c r="A53" s="33"/>
      <c r="B53" s="25"/>
      <c r="C53" s="25"/>
      <c r="D53" s="25"/>
      <c r="E53" s="34"/>
      <c r="F53" s="34"/>
      <c r="G53" s="25"/>
      <c r="H53" s="25"/>
      <c r="I53" s="25"/>
      <c r="J53" s="25"/>
      <c r="K53" s="25"/>
      <c r="L53" s="35"/>
      <c r="M53" s="25"/>
      <c r="N53" s="35"/>
      <c r="O53" s="25"/>
      <c r="P53" s="25"/>
      <c r="Q53" s="25"/>
      <c r="R53" s="35"/>
      <c r="S53" s="25"/>
      <c r="T53" s="25"/>
      <c r="U53" s="25"/>
      <c r="V53" s="35"/>
      <c r="W53" s="34"/>
      <c r="X53" s="34"/>
      <c r="Y53" s="25"/>
      <c r="Z53" s="35"/>
    </row>
    <row r="54" spans="1:26">
      <c r="A54" s="33"/>
      <c r="B54" s="25"/>
      <c r="C54" s="25"/>
      <c r="D54" s="25"/>
      <c r="E54" s="34"/>
      <c r="F54" s="34"/>
      <c r="G54" s="25"/>
      <c r="H54" s="25"/>
      <c r="I54" s="25"/>
      <c r="J54" s="25"/>
      <c r="K54" s="25"/>
      <c r="L54" s="35"/>
      <c r="M54" s="25"/>
      <c r="N54" s="35"/>
      <c r="O54" s="25"/>
      <c r="P54" s="25"/>
      <c r="Q54" s="25"/>
      <c r="R54" s="35"/>
      <c r="S54" s="25"/>
      <c r="T54" s="25"/>
      <c r="U54" s="25"/>
      <c r="V54" s="35"/>
      <c r="W54" s="34"/>
      <c r="X54" s="34"/>
      <c r="Y54" s="25"/>
      <c r="Z54" s="35"/>
    </row>
    <row r="55" spans="1:26">
      <c r="A55" s="33"/>
      <c r="B55" s="25"/>
      <c r="C55" s="25"/>
      <c r="D55" s="25"/>
      <c r="E55" s="34"/>
      <c r="F55" s="34"/>
      <c r="G55" s="25"/>
      <c r="H55" s="25"/>
      <c r="I55" s="25"/>
      <c r="J55" s="25"/>
      <c r="K55" s="25"/>
      <c r="L55" s="35"/>
      <c r="M55" s="25"/>
      <c r="N55" s="35"/>
      <c r="O55" s="25"/>
      <c r="P55" s="25"/>
      <c r="Q55" s="25"/>
      <c r="R55" s="35"/>
      <c r="S55" s="25"/>
      <c r="T55" s="25"/>
      <c r="U55" s="25"/>
      <c r="V55" s="35"/>
      <c r="W55" s="34"/>
      <c r="X55" s="34"/>
      <c r="Y55" s="25"/>
      <c r="Z55" s="35"/>
    </row>
    <row r="56" spans="1:26">
      <c r="A56" s="33"/>
      <c r="B56" s="25"/>
      <c r="C56" s="25"/>
      <c r="D56" s="25"/>
      <c r="E56" s="34"/>
      <c r="F56" s="34"/>
      <c r="G56" s="25"/>
      <c r="H56" s="25"/>
      <c r="I56" s="25"/>
      <c r="J56" s="25"/>
      <c r="K56" s="25"/>
      <c r="L56" s="35"/>
      <c r="M56" s="25"/>
      <c r="N56" s="35"/>
      <c r="O56" s="25"/>
      <c r="P56" s="25"/>
      <c r="Q56" s="25"/>
      <c r="R56" s="35"/>
      <c r="S56" s="25"/>
      <c r="T56" s="25"/>
      <c r="U56" s="25"/>
      <c r="V56" s="35"/>
      <c r="W56" s="34"/>
      <c r="X56" s="34"/>
      <c r="Y56" s="25"/>
      <c r="Z56" s="35"/>
    </row>
    <row r="57" spans="1:26">
      <c r="A57" s="33"/>
      <c r="B57" s="25"/>
      <c r="C57" s="25"/>
      <c r="D57" s="25"/>
      <c r="E57" s="34"/>
      <c r="F57" s="34"/>
      <c r="G57" s="25"/>
      <c r="H57" s="25"/>
      <c r="I57" s="25"/>
      <c r="J57" s="25"/>
      <c r="K57" s="25"/>
      <c r="L57" s="35"/>
      <c r="M57" s="25"/>
      <c r="N57" s="35"/>
      <c r="O57" s="25"/>
      <c r="P57" s="25"/>
      <c r="Q57" s="25"/>
      <c r="R57" s="35"/>
      <c r="S57" s="25"/>
      <c r="T57" s="25"/>
      <c r="U57" s="25"/>
      <c r="V57" s="35"/>
      <c r="W57" s="34"/>
      <c r="X57" s="34"/>
      <c r="Y57" s="25"/>
      <c r="Z57" s="35"/>
    </row>
    <row r="58" spans="1:26">
      <c r="A58" s="33"/>
      <c r="B58" s="25"/>
      <c r="C58" s="25"/>
      <c r="D58" s="25"/>
      <c r="E58" s="34"/>
      <c r="F58" s="34"/>
      <c r="G58" s="25"/>
      <c r="H58" s="25"/>
      <c r="I58" s="25"/>
      <c r="J58" s="25"/>
      <c r="K58" s="25"/>
      <c r="L58" s="35"/>
      <c r="M58" s="25"/>
      <c r="N58" s="35"/>
      <c r="O58" s="25"/>
      <c r="P58" s="25"/>
      <c r="Q58" s="25"/>
      <c r="R58" s="35"/>
      <c r="S58" s="25"/>
      <c r="T58" s="25"/>
      <c r="U58" s="25"/>
      <c r="V58" s="35"/>
      <c r="W58" s="34"/>
      <c r="X58" s="34"/>
      <c r="Y58" s="25"/>
      <c r="Z58" s="35"/>
    </row>
    <row r="59" spans="1:26">
      <c r="A59" s="33"/>
      <c r="B59" s="25"/>
      <c r="C59" s="25"/>
      <c r="D59" s="25"/>
      <c r="E59" s="34"/>
      <c r="F59" s="34"/>
      <c r="G59" s="25"/>
      <c r="H59" s="25"/>
      <c r="I59" s="25"/>
      <c r="J59" s="25"/>
      <c r="K59" s="25"/>
      <c r="L59" s="35"/>
      <c r="M59" s="25"/>
      <c r="N59" s="35"/>
      <c r="O59" s="25"/>
      <c r="P59" s="25"/>
      <c r="Q59" s="25"/>
      <c r="R59" s="35"/>
      <c r="S59" s="25"/>
      <c r="T59" s="25"/>
      <c r="U59" s="25"/>
      <c r="V59" s="35"/>
      <c r="W59" s="34"/>
      <c r="X59" s="34"/>
      <c r="Y59" s="25"/>
      <c r="Z59" s="35"/>
    </row>
    <row r="60" spans="1:26">
      <c r="M60"/>
    </row>
    <row r="61" spans="1:26">
      <c r="A61" s="57"/>
      <c r="B61" s="56"/>
      <c r="C61" s="56"/>
      <c r="D61" s="56"/>
      <c r="E61" s="58"/>
      <c r="F61" s="58"/>
      <c r="G61" s="56"/>
      <c r="H61" s="56"/>
      <c r="I61" s="56"/>
      <c r="J61" s="56"/>
      <c r="K61" s="56"/>
      <c r="L61" s="59"/>
      <c r="M61" s="56"/>
      <c r="N61" s="59"/>
      <c r="O61" s="56"/>
      <c r="P61" s="56"/>
      <c r="Q61" s="56"/>
      <c r="R61" s="59"/>
      <c r="S61" s="56"/>
      <c r="T61" s="56"/>
      <c r="U61" s="56"/>
      <c r="V61" s="59"/>
      <c r="W61" s="58"/>
      <c r="X61" s="58"/>
      <c r="Y61" s="56"/>
      <c r="Z61" s="59"/>
    </row>
    <row r="62" spans="1:26">
      <c r="A62" s="57"/>
      <c r="B62" s="56"/>
      <c r="C62" s="56"/>
      <c r="D62" s="56"/>
      <c r="E62" s="58"/>
      <c r="F62" s="58"/>
      <c r="G62" s="56"/>
      <c r="H62" s="56"/>
      <c r="I62" s="56"/>
      <c r="J62" s="56"/>
      <c r="K62" s="56"/>
      <c r="L62" s="59"/>
      <c r="M62" s="56"/>
      <c r="N62" s="59"/>
      <c r="O62" s="56"/>
      <c r="P62" s="56"/>
      <c r="Q62" s="56"/>
      <c r="R62" s="59"/>
      <c r="S62" s="56"/>
      <c r="T62" s="56"/>
      <c r="U62" s="56"/>
      <c r="V62" s="59"/>
      <c r="W62" s="58"/>
      <c r="X62" s="58"/>
      <c r="Y62" s="56"/>
      <c r="Z62" s="59"/>
    </row>
    <row r="63" spans="1:26">
      <c r="A63" s="33"/>
      <c r="B63" s="25"/>
      <c r="C63" s="25"/>
      <c r="D63" s="25"/>
      <c r="E63" s="34"/>
      <c r="F63" s="34"/>
      <c r="G63" s="25"/>
      <c r="H63" s="25"/>
      <c r="I63" s="25"/>
      <c r="J63" s="25"/>
      <c r="K63" s="25"/>
      <c r="L63" s="35"/>
      <c r="M63" s="25"/>
      <c r="N63" s="35"/>
      <c r="O63" s="25"/>
      <c r="P63" s="25"/>
      <c r="Q63" s="25"/>
      <c r="R63" s="35"/>
      <c r="S63" s="25"/>
      <c r="T63" s="25"/>
      <c r="U63" s="25"/>
      <c r="V63" s="35"/>
      <c r="W63" s="34"/>
      <c r="X63" s="34"/>
      <c r="Y63" s="25"/>
      <c r="Z63" s="35"/>
    </row>
    <row r="64" spans="1:26">
      <c r="A64" s="33"/>
      <c r="B64" s="25"/>
      <c r="C64" s="25"/>
      <c r="D64" s="25"/>
      <c r="E64" s="34"/>
      <c r="F64" s="34"/>
      <c r="G64" s="25"/>
      <c r="H64" s="25"/>
      <c r="I64" s="25"/>
      <c r="J64" s="25"/>
      <c r="K64" s="25"/>
      <c r="L64" s="35"/>
      <c r="M64" s="25"/>
      <c r="N64" s="35"/>
      <c r="O64" s="25"/>
      <c r="P64" s="25"/>
      <c r="Q64" s="25"/>
      <c r="R64" s="35"/>
      <c r="S64" s="25"/>
      <c r="T64" s="25"/>
      <c r="U64" s="25"/>
      <c r="V64" s="35"/>
      <c r="W64" s="34"/>
      <c r="X64" s="34"/>
      <c r="Y64" s="25"/>
      <c r="Z64" s="35"/>
    </row>
    <row r="65" spans="1:26">
      <c r="A65" s="33"/>
      <c r="B65" s="25"/>
      <c r="C65" s="25"/>
      <c r="D65" s="25"/>
      <c r="E65" s="34"/>
      <c r="F65" s="34"/>
      <c r="G65" s="25"/>
      <c r="H65" s="25"/>
      <c r="I65" s="25"/>
      <c r="J65" s="25"/>
      <c r="K65" s="25"/>
      <c r="L65" s="35"/>
      <c r="M65" s="25"/>
      <c r="N65" s="35"/>
      <c r="O65" s="25"/>
      <c r="P65" s="25"/>
      <c r="Q65" s="25"/>
      <c r="R65" s="35"/>
      <c r="S65" s="25"/>
      <c r="T65" s="25"/>
      <c r="U65" s="25"/>
      <c r="V65" s="35"/>
      <c r="W65" s="34"/>
      <c r="X65" s="34"/>
      <c r="Y65" s="25"/>
      <c r="Z65" s="35"/>
    </row>
    <row r="66" spans="1:26">
      <c r="A66" s="33"/>
      <c r="B66" s="25"/>
      <c r="C66" s="25"/>
      <c r="D66" s="25"/>
      <c r="E66" s="34"/>
      <c r="F66" s="34"/>
      <c r="G66" s="25"/>
      <c r="H66" s="25"/>
      <c r="I66" s="25"/>
      <c r="J66" s="25"/>
      <c r="K66" s="25"/>
      <c r="L66" s="35"/>
      <c r="M66" s="25"/>
      <c r="N66" s="35"/>
      <c r="O66" s="25"/>
      <c r="P66" s="25"/>
      <c r="Q66" s="25"/>
      <c r="R66" s="35"/>
      <c r="S66" s="25"/>
      <c r="T66" s="25"/>
      <c r="U66" s="25"/>
      <c r="V66" s="35"/>
      <c r="W66" s="34"/>
      <c r="X66" s="34"/>
      <c r="Y66" s="25"/>
      <c r="Z66" s="35"/>
    </row>
    <row r="67" spans="1:26">
      <c r="A67" s="33"/>
      <c r="B67" s="25"/>
      <c r="C67" s="25"/>
      <c r="D67" s="25"/>
      <c r="E67" s="34"/>
      <c r="F67" s="34"/>
      <c r="G67" s="25"/>
      <c r="H67" s="25"/>
      <c r="I67" s="25"/>
      <c r="J67" s="25"/>
      <c r="K67" s="25"/>
      <c r="L67" s="35"/>
      <c r="M67" s="25"/>
      <c r="N67" s="35"/>
      <c r="O67" s="25"/>
      <c r="P67" s="25"/>
      <c r="Q67" s="25"/>
      <c r="R67" s="35"/>
      <c r="S67" s="25"/>
      <c r="T67" s="25"/>
      <c r="U67" s="25"/>
      <c r="V67" s="35"/>
      <c r="W67" s="34"/>
      <c r="X67" s="34"/>
      <c r="Y67" s="25"/>
      <c r="Z67" s="35"/>
    </row>
    <row r="68" spans="1:26">
      <c r="A68" s="33"/>
      <c r="B68" s="25"/>
      <c r="C68" s="25"/>
      <c r="D68" s="25"/>
      <c r="E68" s="34"/>
      <c r="F68" s="34"/>
      <c r="G68" s="25"/>
      <c r="H68" s="25"/>
      <c r="I68" s="25"/>
      <c r="J68" s="25"/>
      <c r="K68" s="25"/>
      <c r="L68" s="35"/>
      <c r="M68" s="25"/>
      <c r="N68" s="35"/>
      <c r="O68" s="25"/>
      <c r="P68" s="25"/>
      <c r="Q68" s="25"/>
      <c r="R68" s="35"/>
      <c r="S68" s="25"/>
      <c r="T68" s="25"/>
      <c r="U68" s="25"/>
      <c r="V68" s="35"/>
      <c r="W68" s="34"/>
      <c r="X68" s="34"/>
      <c r="Y68" s="25"/>
      <c r="Z68" s="35"/>
    </row>
    <row r="69" spans="1:26">
      <c r="A69" s="33"/>
      <c r="B69" s="25"/>
      <c r="C69" s="25"/>
      <c r="D69" s="25"/>
      <c r="E69" s="34"/>
      <c r="F69" s="34"/>
      <c r="G69" s="25"/>
      <c r="H69" s="25"/>
      <c r="I69" s="25"/>
      <c r="J69" s="25"/>
      <c r="K69" s="25"/>
      <c r="L69" s="35"/>
      <c r="M69" s="25"/>
      <c r="N69" s="35"/>
      <c r="O69" s="25"/>
      <c r="P69" s="25"/>
      <c r="Q69" s="25"/>
      <c r="R69" s="35"/>
      <c r="S69" s="25"/>
      <c r="T69" s="25"/>
      <c r="U69" s="25"/>
      <c r="V69" s="35"/>
      <c r="W69" s="34"/>
      <c r="X69" s="34"/>
      <c r="Y69" s="25"/>
      <c r="Z69" s="35"/>
    </row>
    <row r="70" spans="1:26">
      <c r="A70" s="33"/>
      <c r="B70" s="25"/>
      <c r="C70" s="25"/>
      <c r="D70" s="25"/>
      <c r="E70" s="34"/>
      <c r="F70" s="34"/>
      <c r="G70" s="25"/>
      <c r="H70" s="25"/>
      <c r="I70" s="25"/>
      <c r="J70" s="25"/>
      <c r="K70" s="25"/>
      <c r="L70" s="35"/>
      <c r="M70" s="25"/>
      <c r="N70" s="35"/>
      <c r="O70" s="25"/>
      <c r="P70" s="25"/>
      <c r="Q70" s="25"/>
      <c r="R70" s="35"/>
      <c r="S70" s="25"/>
      <c r="T70" s="25"/>
      <c r="U70" s="25"/>
      <c r="V70" s="35"/>
      <c r="W70" s="34"/>
      <c r="X70" s="34"/>
      <c r="Y70" s="25"/>
      <c r="Z70" s="35"/>
    </row>
    <row r="71" spans="1:26">
      <c r="A71" s="33"/>
      <c r="B71" s="25"/>
      <c r="C71" s="25"/>
      <c r="D71" s="25"/>
      <c r="E71" s="34"/>
      <c r="F71" s="34"/>
      <c r="G71" s="25"/>
      <c r="H71" s="25"/>
      <c r="I71" s="25"/>
      <c r="J71" s="25"/>
      <c r="K71" s="25"/>
      <c r="L71" s="35"/>
      <c r="M71" s="25"/>
      <c r="N71" s="35"/>
      <c r="O71" s="25"/>
      <c r="P71" s="25"/>
      <c r="Q71" s="25"/>
      <c r="R71" s="35"/>
      <c r="S71" s="25"/>
      <c r="T71" s="25"/>
      <c r="U71" s="25"/>
      <c r="V71" s="35"/>
      <c r="W71" s="34"/>
      <c r="X71" s="34"/>
      <c r="Y71" s="25"/>
      <c r="Z71" s="35"/>
    </row>
    <row r="72" spans="1:26">
      <c r="A72" s="33"/>
      <c r="B72" s="25"/>
      <c r="C72" s="25"/>
      <c r="D72" s="25"/>
      <c r="E72" s="34"/>
      <c r="F72" s="34"/>
      <c r="G72" s="25"/>
      <c r="H72" s="25"/>
      <c r="I72" s="25"/>
      <c r="J72" s="25"/>
      <c r="K72" s="25"/>
      <c r="L72" s="35"/>
      <c r="M72" s="25"/>
      <c r="N72" s="35"/>
      <c r="O72" s="25"/>
      <c r="P72" s="25"/>
      <c r="Q72" s="25"/>
      <c r="R72" s="35"/>
      <c r="S72" s="25"/>
      <c r="T72" s="25"/>
      <c r="U72" s="25"/>
      <c r="V72" s="35"/>
      <c r="W72" s="34"/>
      <c r="X72" s="34"/>
      <c r="Y72" s="25"/>
      <c r="Z72" s="35"/>
    </row>
    <row r="73" spans="1:26">
      <c r="M73"/>
    </row>
    <row r="74" spans="1:26">
      <c r="A74" s="57"/>
      <c r="B74" s="56"/>
      <c r="C74" s="56"/>
      <c r="D74" s="56"/>
      <c r="E74" s="58"/>
      <c r="F74" s="58"/>
      <c r="G74" s="56"/>
      <c r="H74" s="56"/>
      <c r="I74" s="56"/>
      <c r="J74" s="56"/>
      <c r="K74" s="56"/>
      <c r="L74" s="59"/>
      <c r="M74" s="56"/>
      <c r="N74" s="59"/>
      <c r="O74" s="56"/>
      <c r="P74" s="56"/>
      <c r="Q74" s="56"/>
      <c r="R74" s="59"/>
      <c r="S74" s="56"/>
      <c r="T74" s="56"/>
      <c r="U74" s="56"/>
      <c r="V74" s="59"/>
      <c r="W74" s="58"/>
      <c r="X74" s="58"/>
      <c r="Y74" s="56"/>
      <c r="Z74" s="59"/>
    </row>
    <row r="75" spans="1:26">
      <c r="A75" s="57"/>
      <c r="B75" s="56"/>
      <c r="C75" s="56"/>
      <c r="D75" s="56"/>
      <c r="E75" s="58"/>
      <c r="F75" s="58"/>
      <c r="G75" s="56"/>
      <c r="H75" s="56"/>
      <c r="I75" s="56"/>
      <c r="J75" s="56"/>
      <c r="K75" s="56"/>
      <c r="L75" s="59"/>
      <c r="M75" s="56"/>
      <c r="N75" s="59"/>
      <c r="O75" s="56"/>
      <c r="P75" s="56"/>
      <c r="Q75" s="56"/>
      <c r="R75" s="59"/>
      <c r="S75" s="56"/>
      <c r="T75" s="56"/>
      <c r="U75" s="56"/>
      <c r="V75" s="59"/>
      <c r="W75" s="58"/>
      <c r="X75" s="58"/>
      <c r="Y75" s="56"/>
      <c r="Z75" s="59"/>
    </row>
    <row r="76" spans="1:26">
      <c r="A76" s="33"/>
      <c r="B76" s="25"/>
      <c r="C76" s="25"/>
      <c r="D76" s="25"/>
      <c r="E76" s="34"/>
      <c r="F76" s="34"/>
      <c r="G76" s="25"/>
      <c r="H76" s="25"/>
      <c r="I76" s="25"/>
      <c r="J76" s="25"/>
      <c r="K76" s="25"/>
      <c r="L76" s="35"/>
      <c r="M76" s="25"/>
      <c r="N76" s="35"/>
      <c r="O76" s="25"/>
      <c r="P76" s="25"/>
      <c r="Q76" s="25"/>
      <c r="R76" s="35"/>
      <c r="S76" s="25"/>
      <c r="T76" s="25"/>
      <c r="U76" s="25"/>
      <c r="V76" s="35"/>
      <c r="W76" s="34"/>
      <c r="X76" s="34"/>
      <c r="Y76" s="25"/>
      <c r="Z76" s="35"/>
    </row>
    <row r="77" spans="1:26">
      <c r="A77" s="33"/>
      <c r="B77" s="25"/>
      <c r="C77" s="25"/>
      <c r="D77" s="25"/>
      <c r="E77" s="34"/>
      <c r="F77" s="34"/>
      <c r="G77" s="25"/>
      <c r="H77" s="25"/>
      <c r="I77" s="25"/>
      <c r="J77" s="25"/>
      <c r="K77" s="25"/>
      <c r="L77" s="35"/>
      <c r="M77" s="25"/>
      <c r="N77" s="35"/>
      <c r="O77" s="25"/>
      <c r="P77" s="25"/>
      <c r="Q77" s="25"/>
      <c r="R77" s="35"/>
      <c r="S77" s="25"/>
      <c r="T77" s="25"/>
      <c r="U77" s="25"/>
      <c r="V77" s="35"/>
      <c r="W77" s="34"/>
      <c r="X77" s="34"/>
      <c r="Y77" s="25"/>
      <c r="Z77" s="35"/>
    </row>
    <row r="78" spans="1:26">
      <c r="A78" s="33"/>
      <c r="B78" s="25"/>
      <c r="C78" s="25"/>
      <c r="D78" s="25"/>
      <c r="E78" s="34"/>
      <c r="F78" s="34"/>
      <c r="G78" s="25"/>
      <c r="H78" s="25"/>
      <c r="I78" s="25"/>
      <c r="J78" s="25"/>
      <c r="K78" s="25"/>
      <c r="L78" s="35"/>
      <c r="M78" s="25"/>
      <c r="N78" s="35"/>
      <c r="O78" s="25"/>
      <c r="P78" s="25"/>
      <c r="Q78" s="25"/>
      <c r="R78" s="35"/>
      <c r="S78" s="25"/>
      <c r="T78" s="25"/>
      <c r="U78" s="25"/>
      <c r="V78" s="35"/>
      <c r="W78" s="34"/>
      <c r="X78" s="34"/>
      <c r="Y78" s="25"/>
      <c r="Z78" s="35"/>
    </row>
    <row r="79" spans="1:26">
      <c r="A79" s="33"/>
      <c r="B79" s="25"/>
      <c r="C79" s="25"/>
      <c r="D79" s="25"/>
      <c r="E79" s="34"/>
      <c r="F79" s="34"/>
      <c r="G79" s="25"/>
      <c r="H79" s="25"/>
      <c r="I79" s="25"/>
      <c r="J79" s="25"/>
      <c r="K79" s="25"/>
      <c r="L79" s="35"/>
      <c r="M79" s="25"/>
      <c r="N79" s="35"/>
      <c r="O79" s="25"/>
      <c r="P79" s="25"/>
      <c r="Q79" s="25"/>
      <c r="R79" s="35"/>
      <c r="S79" s="25"/>
      <c r="T79" s="25"/>
      <c r="U79" s="25"/>
      <c r="V79" s="35"/>
      <c r="W79" s="34"/>
      <c r="X79" s="34"/>
      <c r="Y79" s="25"/>
      <c r="Z79" s="35"/>
    </row>
    <row r="80" spans="1:26">
      <c r="A80" s="33"/>
      <c r="B80" s="25"/>
      <c r="C80" s="25"/>
      <c r="D80" s="25"/>
      <c r="E80" s="34"/>
      <c r="F80" s="34"/>
      <c r="G80" s="25"/>
      <c r="H80" s="25"/>
      <c r="I80" s="25"/>
      <c r="J80" s="25"/>
      <c r="K80" s="25"/>
      <c r="L80" s="35"/>
      <c r="M80" s="25"/>
      <c r="N80" s="35"/>
      <c r="O80" s="25"/>
      <c r="P80" s="25"/>
      <c r="Q80" s="25"/>
      <c r="R80" s="35"/>
      <c r="S80" s="25"/>
      <c r="T80" s="25"/>
      <c r="U80" s="25"/>
      <c r="V80" s="35"/>
      <c r="W80" s="34"/>
      <c r="X80" s="34"/>
      <c r="Y80" s="25"/>
      <c r="Z80" s="35"/>
    </row>
    <row r="81" spans="1:26">
      <c r="A81" s="33"/>
      <c r="B81" s="25"/>
      <c r="C81" s="25"/>
      <c r="D81" s="25"/>
      <c r="E81" s="34"/>
      <c r="F81" s="34"/>
      <c r="G81" s="25"/>
      <c r="H81" s="25"/>
      <c r="I81" s="25"/>
      <c r="J81" s="25"/>
      <c r="K81" s="25"/>
      <c r="L81" s="35"/>
      <c r="M81" s="25"/>
      <c r="N81" s="35"/>
      <c r="O81" s="25"/>
      <c r="P81" s="25"/>
      <c r="Q81" s="25"/>
      <c r="R81" s="35"/>
      <c r="S81" s="25"/>
      <c r="T81" s="25"/>
      <c r="U81" s="25"/>
      <c r="V81" s="35"/>
      <c r="W81" s="34"/>
      <c r="X81" s="34"/>
      <c r="Y81" s="25"/>
      <c r="Z81" s="35"/>
    </row>
    <row r="82" spans="1:26">
      <c r="A82" s="33"/>
      <c r="B82" s="25"/>
      <c r="C82" s="25"/>
      <c r="D82" s="25"/>
      <c r="E82" s="34"/>
      <c r="F82" s="34"/>
      <c r="G82" s="25"/>
      <c r="H82" s="25"/>
      <c r="I82" s="25"/>
      <c r="J82" s="25"/>
      <c r="K82" s="25"/>
      <c r="L82" s="35"/>
      <c r="M82" s="25"/>
      <c r="N82" s="35"/>
      <c r="O82" s="25"/>
      <c r="P82" s="25"/>
      <c r="Q82" s="25"/>
      <c r="R82" s="35"/>
      <c r="S82" s="25"/>
      <c r="T82" s="25"/>
      <c r="U82" s="25"/>
      <c r="V82" s="35"/>
      <c r="W82" s="34"/>
      <c r="X82" s="34"/>
      <c r="Y82" s="25"/>
      <c r="Z82" s="35"/>
    </row>
    <row r="83" spans="1:26">
      <c r="A83" s="33"/>
      <c r="B83" s="25"/>
      <c r="C83" s="25"/>
      <c r="D83" s="25"/>
      <c r="E83" s="34"/>
      <c r="F83" s="34"/>
      <c r="G83" s="25"/>
      <c r="H83" s="25"/>
      <c r="I83" s="25"/>
      <c r="J83" s="25"/>
      <c r="K83" s="25"/>
      <c r="L83" s="35"/>
      <c r="M83" s="25"/>
      <c r="N83" s="35"/>
      <c r="O83" s="25"/>
      <c r="P83" s="25"/>
      <c r="Q83" s="25"/>
      <c r="R83" s="35"/>
      <c r="S83" s="25"/>
      <c r="T83" s="25"/>
      <c r="U83" s="25"/>
      <c r="V83" s="35"/>
      <c r="W83" s="34"/>
      <c r="X83" s="34"/>
      <c r="Y83" s="25"/>
      <c r="Z83" s="35"/>
    </row>
    <row r="84" spans="1:26">
      <c r="A84" s="33"/>
      <c r="B84" s="25"/>
      <c r="C84" s="25"/>
      <c r="D84" s="25"/>
      <c r="E84" s="34"/>
      <c r="F84" s="34"/>
      <c r="G84" s="25"/>
      <c r="H84" s="25"/>
      <c r="I84" s="25"/>
      <c r="J84" s="25"/>
      <c r="K84" s="25"/>
      <c r="L84" s="35"/>
      <c r="M84" s="25"/>
      <c r="N84" s="35"/>
      <c r="O84" s="25"/>
      <c r="P84" s="25"/>
      <c r="Q84" s="25"/>
      <c r="R84" s="35"/>
      <c r="S84" s="25"/>
      <c r="T84" s="25"/>
      <c r="U84" s="25"/>
      <c r="V84" s="35"/>
      <c r="W84" s="34"/>
      <c r="X84" s="34"/>
      <c r="Y84" s="25"/>
      <c r="Z84" s="35"/>
    </row>
    <row r="85" spans="1:26">
      <c r="A85" s="33"/>
      <c r="B85" s="25"/>
      <c r="C85" s="25"/>
      <c r="D85" s="25"/>
      <c r="E85" s="34"/>
      <c r="F85" s="34"/>
      <c r="G85" s="25"/>
      <c r="H85" s="25"/>
      <c r="I85" s="25"/>
      <c r="J85" s="25"/>
      <c r="K85" s="25"/>
      <c r="L85" s="35"/>
      <c r="M85" s="25"/>
      <c r="N85" s="35"/>
      <c r="O85" s="25"/>
      <c r="P85" s="25"/>
      <c r="Q85" s="25"/>
      <c r="R85" s="35"/>
      <c r="S85" s="25"/>
      <c r="T85" s="25"/>
      <c r="U85" s="25"/>
      <c r="V85" s="35"/>
      <c r="W85" s="34"/>
      <c r="X85" s="34"/>
      <c r="Y85" s="25"/>
      <c r="Z85" s="35"/>
    </row>
    <row r="86" spans="1:26">
      <c r="M86"/>
    </row>
    <row r="87" spans="1:26">
      <c r="A87" s="57"/>
      <c r="B87" s="56"/>
      <c r="C87" s="56"/>
      <c r="D87" s="56"/>
      <c r="E87" s="58"/>
      <c r="F87" s="58"/>
      <c r="G87" s="56"/>
      <c r="H87" s="56"/>
      <c r="I87" s="56"/>
      <c r="J87" s="56"/>
      <c r="K87" s="56"/>
      <c r="L87" s="59"/>
      <c r="M87" s="56"/>
      <c r="N87" s="59"/>
      <c r="O87" s="56"/>
      <c r="P87" s="56"/>
      <c r="Q87" s="56"/>
      <c r="R87" s="59"/>
      <c r="S87" s="56"/>
      <c r="T87" s="56"/>
      <c r="U87" s="56"/>
      <c r="V87" s="59"/>
      <c r="W87" s="58"/>
      <c r="X87" s="58"/>
      <c r="Y87" s="56"/>
      <c r="Z87" s="59"/>
    </row>
    <row r="88" spans="1:26">
      <c r="A88" s="57"/>
      <c r="B88" s="56"/>
      <c r="C88" s="56"/>
      <c r="D88" s="56"/>
      <c r="E88" s="58"/>
      <c r="F88" s="58"/>
      <c r="G88" s="56"/>
      <c r="H88" s="56"/>
      <c r="I88" s="56"/>
      <c r="J88" s="56"/>
      <c r="K88" s="56"/>
      <c r="L88" s="59"/>
      <c r="M88" s="56"/>
      <c r="N88" s="59"/>
      <c r="O88" s="56"/>
      <c r="P88" s="56"/>
      <c r="Q88" s="56"/>
      <c r="R88" s="59"/>
      <c r="S88" s="56"/>
      <c r="T88" s="56"/>
      <c r="U88" s="56"/>
      <c r="V88" s="59"/>
      <c r="W88" s="58"/>
      <c r="X88" s="58"/>
      <c r="Y88" s="56"/>
      <c r="Z88" s="59"/>
    </row>
    <row r="89" spans="1:26">
      <c r="A89" s="33"/>
      <c r="B89" s="25"/>
      <c r="C89" s="25"/>
      <c r="D89" s="25"/>
      <c r="E89" s="34"/>
      <c r="F89" s="34"/>
      <c r="G89" s="25"/>
      <c r="H89" s="25"/>
      <c r="I89" s="25"/>
      <c r="J89" s="25"/>
      <c r="K89" s="25"/>
      <c r="L89" s="35"/>
      <c r="M89" s="25"/>
      <c r="N89" s="35"/>
      <c r="O89" s="25"/>
      <c r="P89" s="25"/>
      <c r="Q89" s="25"/>
      <c r="R89" s="35"/>
      <c r="S89" s="25"/>
      <c r="T89" s="25"/>
      <c r="U89" s="25"/>
      <c r="V89" s="35"/>
      <c r="W89" s="34"/>
      <c r="X89" s="34"/>
      <c r="Y89" s="25"/>
      <c r="Z89" s="35"/>
    </row>
    <row r="90" spans="1:26">
      <c r="A90" s="33"/>
      <c r="B90" s="25"/>
      <c r="C90" s="25"/>
      <c r="D90" s="25"/>
      <c r="E90" s="34"/>
      <c r="F90" s="34"/>
      <c r="G90" s="25"/>
      <c r="H90" s="25"/>
      <c r="I90" s="25"/>
      <c r="J90" s="25"/>
      <c r="K90" s="25"/>
      <c r="L90" s="35"/>
      <c r="M90" s="25"/>
      <c r="N90" s="35"/>
      <c r="O90" s="25"/>
      <c r="P90" s="25"/>
      <c r="Q90" s="25"/>
      <c r="R90" s="35"/>
      <c r="S90" s="25"/>
      <c r="T90" s="25"/>
      <c r="U90" s="25"/>
      <c r="V90" s="35"/>
      <c r="W90" s="34"/>
      <c r="X90" s="34"/>
      <c r="Y90" s="25"/>
      <c r="Z90" s="35"/>
    </row>
    <row r="91" spans="1:26">
      <c r="A91" s="33"/>
      <c r="B91" s="25"/>
      <c r="C91" s="25"/>
      <c r="D91" s="25"/>
      <c r="E91" s="34"/>
      <c r="F91" s="34"/>
      <c r="G91" s="25"/>
      <c r="H91" s="25"/>
      <c r="I91" s="25"/>
      <c r="J91" s="25"/>
      <c r="K91" s="25"/>
      <c r="L91" s="35"/>
      <c r="M91" s="25"/>
      <c r="N91" s="35"/>
      <c r="O91" s="25"/>
      <c r="P91" s="25"/>
      <c r="Q91" s="25"/>
      <c r="R91" s="35"/>
      <c r="S91" s="25"/>
      <c r="T91" s="25"/>
      <c r="U91" s="25"/>
      <c r="V91" s="35"/>
      <c r="W91" s="34"/>
      <c r="X91" s="34"/>
      <c r="Y91" s="25"/>
      <c r="Z91" s="35"/>
    </row>
    <row r="92" spans="1:26">
      <c r="A92" s="33"/>
      <c r="B92" s="25"/>
      <c r="C92" s="25"/>
      <c r="D92" s="25"/>
      <c r="E92" s="34"/>
      <c r="F92" s="34"/>
      <c r="G92" s="25"/>
      <c r="H92" s="25"/>
      <c r="I92" s="25"/>
      <c r="J92" s="25"/>
      <c r="K92" s="25"/>
      <c r="L92" s="35"/>
      <c r="M92" s="25"/>
      <c r="N92" s="35"/>
      <c r="O92" s="25"/>
      <c r="P92" s="25"/>
      <c r="Q92" s="25"/>
      <c r="R92" s="35"/>
      <c r="S92" s="25"/>
      <c r="T92" s="25"/>
      <c r="U92" s="25"/>
      <c r="V92" s="35"/>
      <c r="W92" s="34"/>
      <c r="X92" s="34"/>
      <c r="Y92" s="25"/>
      <c r="Z92" s="35"/>
    </row>
    <row r="93" spans="1:26">
      <c r="A93" s="33"/>
      <c r="B93" s="25"/>
      <c r="C93" s="25"/>
      <c r="D93" s="25"/>
      <c r="E93" s="34"/>
      <c r="F93" s="34"/>
      <c r="G93" s="25"/>
      <c r="H93" s="25"/>
      <c r="I93" s="25"/>
      <c r="J93" s="25"/>
      <c r="K93" s="25"/>
      <c r="L93" s="35"/>
      <c r="M93" s="25"/>
      <c r="N93" s="35"/>
      <c r="O93" s="25"/>
      <c r="P93" s="25"/>
      <c r="Q93" s="25"/>
      <c r="R93" s="35"/>
      <c r="S93" s="25"/>
      <c r="T93" s="25"/>
      <c r="U93" s="25"/>
      <c r="V93" s="35"/>
      <c r="W93" s="34"/>
      <c r="X93" s="34"/>
      <c r="Y93" s="25"/>
      <c r="Z93" s="35"/>
    </row>
    <row r="94" spans="1:26">
      <c r="A94" s="33"/>
      <c r="B94" s="25"/>
      <c r="C94" s="25"/>
      <c r="D94" s="25"/>
      <c r="E94" s="34"/>
      <c r="F94" s="34"/>
      <c r="G94" s="25"/>
      <c r="H94" s="25"/>
      <c r="I94" s="25"/>
      <c r="J94" s="25"/>
      <c r="K94" s="25"/>
      <c r="L94" s="35"/>
      <c r="M94" s="25"/>
      <c r="N94" s="35"/>
      <c r="O94" s="25"/>
      <c r="P94" s="25"/>
      <c r="Q94" s="25"/>
      <c r="R94" s="35"/>
      <c r="S94" s="25"/>
      <c r="T94" s="25"/>
      <c r="U94" s="25"/>
      <c r="V94" s="35"/>
      <c r="W94" s="34"/>
      <c r="X94" s="34"/>
      <c r="Y94" s="25"/>
      <c r="Z94" s="35"/>
    </row>
    <row r="95" spans="1:26">
      <c r="A95" s="33"/>
      <c r="B95" s="25"/>
      <c r="C95" s="25"/>
      <c r="D95" s="25"/>
      <c r="E95" s="34"/>
      <c r="F95" s="34"/>
      <c r="G95" s="25"/>
      <c r="H95" s="25"/>
      <c r="I95" s="25"/>
      <c r="J95" s="25"/>
      <c r="K95" s="25"/>
      <c r="L95" s="35"/>
      <c r="M95" s="25"/>
      <c r="N95" s="35"/>
      <c r="O95" s="25"/>
      <c r="P95" s="25"/>
      <c r="Q95" s="25"/>
      <c r="R95" s="35"/>
      <c r="S95" s="25"/>
      <c r="T95" s="25"/>
      <c r="U95" s="25"/>
      <c r="V95" s="35"/>
      <c r="W95" s="34"/>
      <c r="X95" s="34"/>
      <c r="Y95" s="25"/>
      <c r="Z95" s="35"/>
    </row>
    <row r="96" spans="1:26">
      <c r="A96" s="33"/>
      <c r="B96" s="25"/>
      <c r="C96" s="25"/>
      <c r="D96" s="25"/>
      <c r="E96" s="34"/>
      <c r="F96" s="34"/>
      <c r="G96" s="25"/>
      <c r="H96" s="25"/>
      <c r="I96" s="25"/>
      <c r="J96" s="25"/>
      <c r="K96" s="25"/>
      <c r="L96" s="35"/>
      <c r="M96" s="25"/>
      <c r="N96" s="35"/>
      <c r="O96" s="25"/>
      <c r="P96" s="25"/>
      <c r="Q96" s="25"/>
      <c r="R96" s="35"/>
      <c r="S96" s="25"/>
      <c r="T96" s="25"/>
      <c r="U96" s="25"/>
      <c r="V96" s="35"/>
      <c r="W96" s="34"/>
      <c r="X96" s="34"/>
      <c r="Y96" s="25"/>
      <c r="Z96" s="35"/>
    </row>
    <row r="97" spans="1:26">
      <c r="A97" s="33"/>
      <c r="B97" s="25"/>
      <c r="C97" s="25"/>
      <c r="D97" s="25"/>
      <c r="E97" s="34"/>
      <c r="F97" s="34"/>
      <c r="G97" s="25"/>
      <c r="H97" s="25"/>
      <c r="I97" s="25"/>
      <c r="J97" s="25"/>
      <c r="K97" s="25"/>
      <c r="L97" s="35"/>
      <c r="M97" s="25"/>
      <c r="N97" s="35"/>
      <c r="O97" s="25"/>
      <c r="P97" s="25"/>
      <c r="Q97" s="25"/>
      <c r="R97" s="35"/>
      <c r="S97" s="25"/>
      <c r="T97" s="25"/>
      <c r="U97" s="25"/>
      <c r="V97" s="35"/>
      <c r="W97" s="34"/>
      <c r="X97" s="34"/>
      <c r="Y97" s="25"/>
      <c r="Z97" s="35"/>
    </row>
    <row r="98" spans="1:26">
      <c r="A98" s="33"/>
      <c r="B98" s="25"/>
      <c r="C98" s="25"/>
      <c r="D98" s="25"/>
      <c r="E98" s="34"/>
      <c r="F98" s="34"/>
      <c r="G98" s="25"/>
      <c r="H98" s="25"/>
      <c r="I98" s="25"/>
      <c r="J98" s="25"/>
      <c r="K98" s="25"/>
      <c r="L98" s="35"/>
      <c r="M98" s="25"/>
      <c r="N98" s="35"/>
      <c r="O98" s="25"/>
      <c r="P98" s="25"/>
      <c r="Q98" s="25"/>
      <c r="R98" s="35"/>
      <c r="S98" s="25"/>
      <c r="T98" s="25"/>
      <c r="U98" s="25"/>
      <c r="V98" s="35"/>
      <c r="W98" s="34"/>
      <c r="X98" s="34"/>
      <c r="Y98" s="25"/>
      <c r="Z98" s="35"/>
    </row>
    <row r="99" spans="1:26">
      <c r="M99"/>
    </row>
    <row r="100" spans="1:26">
      <c r="A100" s="57"/>
      <c r="B100" s="56"/>
      <c r="C100" s="56"/>
      <c r="D100" s="56"/>
      <c r="E100" s="58"/>
      <c r="F100" s="58"/>
      <c r="G100" s="56"/>
      <c r="H100" s="56"/>
      <c r="I100" s="56"/>
      <c r="J100" s="56"/>
      <c r="K100" s="56"/>
      <c r="L100" s="59"/>
      <c r="M100" s="56"/>
      <c r="N100" s="59"/>
      <c r="O100" s="56"/>
      <c r="P100" s="56"/>
      <c r="Q100" s="56"/>
      <c r="R100" s="59"/>
      <c r="S100" s="56"/>
      <c r="T100" s="56"/>
      <c r="U100" s="56"/>
      <c r="V100" s="59"/>
      <c r="W100" s="58"/>
      <c r="X100" s="58"/>
      <c r="Y100" s="56"/>
      <c r="Z100" s="59"/>
    </row>
    <row r="101" spans="1:26">
      <c r="A101" s="57"/>
      <c r="B101" s="56"/>
      <c r="C101" s="56"/>
      <c r="D101" s="56"/>
      <c r="E101" s="58"/>
      <c r="F101" s="58"/>
      <c r="G101" s="56"/>
      <c r="H101" s="56"/>
      <c r="I101" s="56"/>
      <c r="J101" s="56"/>
      <c r="K101" s="56"/>
      <c r="L101" s="59"/>
      <c r="M101" s="56"/>
      <c r="N101" s="59"/>
      <c r="O101" s="56"/>
      <c r="P101" s="56"/>
      <c r="Q101" s="56"/>
      <c r="R101" s="59"/>
      <c r="S101" s="56"/>
      <c r="T101" s="56"/>
      <c r="U101" s="56"/>
      <c r="V101" s="59"/>
      <c r="W101" s="58"/>
      <c r="X101" s="58"/>
      <c r="Y101" s="56"/>
      <c r="Z101" s="59"/>
    </row>
    <row r="102" spans="1:26">
      <c r="A102" s="33"/>
      <c r="B102" s="25"/>
      <c r="C102" s="25"/>
      <c r="D102" s="25"/>
      <c r="E102" s="34"/>
      <c r="F102" s="34"/>
      <c r="G102" s="25"/>
      <c r="H102" s="25"/>
      <c r="I102" s="25"/>
      <c r="J102" s="25"/>
      <c r="K102" s="25"/>
      <c r="L102" s="35"/>
      <c r="M102" s="25"/>
      <c r="N102" s="35"/>
      <c r="O102" s="25"/>
      <c r="P102" s="25"/>
      <c r="Q102" s="25"/>
      <c r="R102" s="35"/>
      <c r="S102" s="25"/>
      <c r="T102" s="25"/>
      <c r="U102" s="25"/>
      <c r="V102" s="35"/>
      <c r="W102" s="34"/>
      <c r="X102" s="34"/>
      <c r="Y102" s="25"/>
      <c r="Z102" s="35"/>
    </row>
    <row r="103" spans="1:26">
      <c r="A103" s="33"/>
      <c r="B103" s="25"/>
      <c r="C103" s="25"/>
      <c r="D103" s="25"/>
      <c r="E103" s="34"/>
      <c r="F103" s="34"/>
      <c r="G103" s="25"/>
      <c r="H103" s="25"/>
      <c r="I103" s="25"/>
      <c r="J103" s="25"/>
      <c r="K103" s="25"/>
      <c r="L103" s="35"/>
      <c r="M103" s="25"/>
      <c r="N103" s="35"/>
      <c r="O103" s="25"/>
      <c r="P103" s="25"/>
      <c r="Q103" s="25"/>
      <c r="R103" s="35"/>
      <c r="S103" s="25"/>
      <c r="T103" s="25"/>
      <c r="U103" s="25"/>
      <c r="V103" s="35"/>
      <c r="W103" s="34"/>
      <c r="X103" s="34"/>
      <c r="Y103" s="25"/>
      <c r="Z103" s="35"/>
    </row>
    <row r="104" spans="1:26">
      <c r="A104" s="33"/>
      <c r="B104" s="25"/>
      <c r="C104" s="25"/>
      <c r="D104" s="25"/>
      <c r="E104" s="34"/>
      <c r="F104" s="34"/>
      <c r="G104" s="25"/>
      <c r="H104" s="25"/>
      <c r="I104" s="25"/>
      <c r="J104" s="25"/>
      <c r="K104" s="25"/>
      <c r="L104" s="35"/>
      <c r="M104" s="25"/>
      <c r="N104" s="35"/>
      <c r="O104" s="25"/>
      <c r="P104" s="25"/>
      <c r="Q104" s="25"/>
      <c r="R104" s="35"/>
      <c r="S104" s="25"/>
      <c r="T104" s="25"/>
      <c r="U104" s="25"/>
      <c r="V104" s="35"/>
      <c r="W104" s="34"/>
      <c r="X104" s="34"/>
      <c r="Y104" s="25"/>
      <c r="Z104" s="35"/>
    </row>
    <row r="105" spans="1:26">
      <c r="A105" s="33"/>
      <c r="B105" s="25"/>
      <c r="C105" s="25"/>
      <c r="D105" s="25"/>
      <c r="E105" s="34"/>
      <c r="F105" s="34"/>
      <c r="G105" s="25"/>
      <c r="H105" s="25"/>
      <c r="I105" s="25"/>
      <c r="J105" s="25"/>
      <c r="K105" s="25"/>
      <c r="L105" s="35"/>
      <c r="M105" s="25"/>
      <c r="N105" s="35"/>
      <c r="O105" s="25"/>
      <c r="P105" s="25"/>
      <c r="Q105" s="25"/>
      <c r="R105" s="35"/>
      <c r="S105" s="25"/>
      <c r="T105" s="25"/>
      <c r="U105" s="25"/>
      <c r="V105" s="35"/>
      <c r="W105" s="34"/>
      <c r="X105" s="34"/>
      <c r="Y105" s="25"/>
      <c r="Z105" s="35"/>
    </row>
    <row r="106" spans="1:26">
      <c r="A106" s="33"/>
      <c r="B106" s="25"/>
      <c r="C106" s="25"/>
      <c r="D106" s="25"/>
      <c r="E106" s="34"/>
      <c r="F106" s="34"/>
      <c r="G106" s="25"/>
      <c r="H106" s="25"/>
      <c r="I106" s="25"/>
      <c r="J106" s="25"/>
      <c r="K106" s="25"/>
      <c r="L106" s="35"/>
      <c r="M106" s="25"/>
      <c r="N106" s="35"/>
      <c r="O106" s="25"/>
      <c r="P106" s="25"/>
      <c r="Q106" s="25"/>
      <c r="R106" s="35"/>
      <c r="S106" s="25"/>
      <c r="T106" s="25"/>
      <c r="U106" s="25"/>
      <c r="V106" s="35"/>
      <c r="W106" s="34"/>
      <c r="X106" s="34"/>
      <c r="Y106" s="25"/>
      <c r="Z106" s="35"/>
    </row>
    <row r="107" spans="1:26">
      <c r="A107" s="33"/>
      <c r="B107" s="25"/>
      <c r="C107" s="25"/>
      <c r="D107" s="25"/>
      <c r="E107" s="34"/>
      <c r="F107" s="34"/>
      <c r="G107" s="25"/>
      <c r="H107" s="25"/>
      <c r="I107" s="25"/>
      <c r="J107" s="25"/>
      <c r="K107" s="25"/>
      <c r="L107" s="35"/>
      <c r="M107" s="25"/>
      <c r="N107" s="35"/>
      <c r="O107" s="25"/>
      <c r="P107" s="25"/>
      <c r="Q107" s="25"/>
      <c r="R107" s="35"/>
      <c r="S107" s="25"/>
      <c r="T107" s="25"/>
      <c r="U107" s="25"/>
      <c r="V107" s="35"/>
      <c r="W107" s="34"/>
      <c r="X107" s="34"/>
      <c r="Y107" s="25"/>
      <c r="Z107" s="35"/>
    </row>
    <row r="108" spans="1:26">
      <c r="A108" s="33"/>
      <c r="B108" s="25"/>
      <c r="C108" s="25"/>
      <c r="D108" s="25"/>
      <c r="E108" s="34"/>
      <c r="F108" s="34"/>
      <c r="G108" s="25"/>
      <c r="H108" s="25"/>
      <c r="I108" s="25"/>
      <c r="J108" s="25"/>
      <c r="K108" s="25"/>
      <c r="L108" s="35"/>
      <c r="M108" s="25"/>
      <c r="N108" s="35"/>
      <c r="O108" s="25"/>
      <c r="P108" s="25"/>
      <c r="Q108" s="25"/>
      <c r="R108" s="35"/>
      <c r="S108" s="25"/>
      <c r="T108" s="25"/>
      <c r="U108" s="25"/>
      <c r="V108" s="35"/>
      <c r="W108" s="34"/>
      <c r="X108" s="34"/>
      <c r="Y108" s="25"/>
      <c r="Z108" s="35"/>
    </row>
    <row r="109" spans="1:26">
      <c r="A109" s="33"/>
      <c r="B109" s="25"/>
      <c r="C109" s="25"/>
      <c r="D109" s="25"/>
      <c r="E109" s="34"/>
      <c r="F109" s="34"/>
      <c r="G109" s="25"/>
      <c r="H109" s="25"/>
      <c r="I109" s="25"/>
      <c r="J109" s="25"/>
      <c r="K109" s="25"/>
      <c r="L109" s="35"/>
      <c r="M109" s="25"/>
      <c r="N109" s="35"/>
      <c r="O109" s="25"/>
      <c r="P109" s="25"/>
      <c r="Q109" s="25"/>
      <c r="R109" s="35"/>
      <c r="S109" s="25"/>
      <c r="T109" s="25"/>
      <c r="U109" s="25"/>
      <c r="V109" s="35"/>
      <c r="W109" s="34"/>
      <c r="X109" s="34"/>
      <c r="Y109" s="25"/>
      <c r="Z109" s="35"/>
    </row>
    <row r="110" spans="1:26">
      <c r="A110" s="33"/>
      <c r="B110" s="25"/>
      <c r="C110" s="25"/>
      <c r="D110" s="25"/>
      <c r="E110" s="34"/>
      <c r="F110" s="34"/>
      <c r="G110" s="25"/>
      <c r="H110" s="25"/>
      <c r="I110" s="25"/>
      <c r="J110" s="25"/>
      <c r="K110" s="25"/>
      <c r="L110" s="35"/>
      <c r="M110" s="25"/>
      <c r="N110" s="35"/>
      <c r="O110" s="25"/>
      <c r="P110" s="25"/>
      <c r="Q110" s="25"/>
      <c r="R110" s="35"/>
      <c r="S110" s="25"/>
      <c r="T110" s="25"/>
      <c r="U110" s="25"/>
      <c r="V110" s="35"/>
      <c r="W110" s="34"/>
      <c r="X110" s="34"/>
      <c r="Y110" s="25"/>
      <c r="Z110" s="35"/>
    </row>
    <row r="111" spans="1:26">
      <c r="A111" s="33"/>
      <c r="B111" s="25"/>
      <c r="C111" s="25"/>
      <c r="D111" s="25"/>
      <c r="E111" s="34"/>
      <c r="F111" s="34"/>
      <c r="G111" s="25"/>
      <c r="H111" s="25"/>
      <c r="I111" s="25"/>
      <c r="J111" s="25"/>
      <c r="K111" s="25"/>
      <c r="L111" s="35"/>
      <c r="M111" s="25"/>
      <c r="N111" s="35"/>
      <c r="O111" s="25"/>
      <c r="P111" s="25"/>
      <c r="Q111" s="25"/>
      <c r="R111" s="35"/>
      <c r="S111" s="25"/>
      <c r="T111" s="25"/>
      <c r="U111" s="25"/>
      <c r="V111" s="35"/>
      <c r="W111" s="34"/>
      <c r="X111" s="34"/>
      <c r="Y111" s="25"/>
      <c r="Z111" s="35"/>
    </row>
    <row r="112" spans="1:26">
      <c r="M112"/>
    </row>
    <row r="113" spans="1:26">
      <c r="A113" s="57"/>
      <c r="B113" s="56"/>
      <c r="C113" s="56"/>
      <c r="D113" s="56"/>
      <c r="E113" s="58"/>
      <c r="F113" s="58"/>
      <c r="G113" s="56"/>
      <c r="H113" s="56"/>
      <c r="I113" s="56"/>
      <c r="J113" s="56"/>
      <c r="K113" s="56"/>
      <c r="L113" s="59"/>
      <c r="M113" s="56"/>
      <c r="N113" s="59"/>
      <c r="O113" s="56"/>
      <c r="P113" s="56"/>
      <c r="Q113" s="56"/>
      <c r="R113" s="59"/>
      <c r="S113" s="56"/>
      <c r="T113" s="56"/>
      <c r="U113" s="56"/>
      <c r="V113" s="59"/>
      <c r="W113" s="58"/>
      <c r="X113" s="58"/>
      <c r="Y113" s="56"/>
      <c r="Z113" s="59"/>
    </row>
    <row r="114" spans="1:26">
      <c r="A114" s="57"/>
      <c r="B114" s="56"/>
      <c r="C114" s="56"/>
      <c r="D114" s="56"/>
      <c r="E114" s="58"/>
      <c r="F114" s="58"/>
      <c r="G114" s="56"/>
      <c r="H114" s="56"/>
      <c r="I114" s="56"/>
      <c r="J114" s="56"/>
      <c r="K114" s="56"/>
      <c r="L114" s="59"/>
      <c r="M114" s="56"/>
      <c r="N114" s="59"/>
      <c r="O114" s="56"/>
      <c r="P114" s="56"/>
      <c r="Q114" s="56"/>
      <c r="R114" s="59"/>
      <c r="S114" s="56"/>
      <c r="T114" s="56"/>
      <c r="U114" s="56"/>
      <c r="V114" s="59"/>
      <c r="W114" s="58"/>
      <c r="X114" s="58"/>
      <c r="Y114" s="56"/>
      <c r="Z114" s="59"/>
    </row>
    <row r="115" spans="1:26">
      <c r="A115" s="33"/>
      <c r="B115" s="25"/>
      <c r="C115" s="25"/>
      <c r="D115" s="25"/>
      <c r="E115" s="34"/>
      <c r="F115" s="34"/>
      <c r="G115" s="25"/>
      <c r="H115" s="25"/>
      <c r="I115" s="25"/>
      <c r="J115" s="25"/>
      <c r="K115" s="25"/>
      <c r="L115" s="35"/>
      <c r="M115" s="25"/>
      <c r="N115" s="35"/>
      <c r="O115" s="25"/>
      <c r="P115" s="25"/>
      <c r="Q115" s="25"/>
      <c r="R115" s="35"/>
      <c r="S115" s="25"/>
      <c r="T115" s="25"/>
      <c r="U115" s="25"/>
      <c r="V115" s="35"/>
      <c r="W115" s="34"/>
      <c r="X115" s="34"/>
      <c r="Y115" s="25"/>
      <c r="Z115" s="35"/>
    </row>
    <row r="116" spans="1:26">
      <c r="A116" s="33"/>
      <c r="B116" s="25"/>
      <c r="C116" s="25"/>
      <c r="D116" s="25"/>
      <c r="E116" s="34"/>
      <c r="F116" s="34"/>
      <c r="G116" s="25"/>
      <c r="H116" s="25"/>
      <c r="I116" s="25"/>
      <c r="J116" s="25"/>
      <c r="K116" s="25"/>
      <c r="L116" s="35"/>
      <c r="M116" s="25"/>
      <c r="N116" s="35"/>
      <c r="O116" s="25"/>
      <c r="P116" s="25"/>
      <c r="Q116" s="25"/>
      <c r="R116" s="35"/>
      <c r="S116" s="25"/>
      <c r="T116" s="25"/>
      <c r="U116" s="25"/>
      <c r="V116" s="35"/>
      <c r="W116" s="34"/>
      <c r="X116" s="34"/>
      <c r="Y116" s="25"/>
      <c r="Z116" s="35"/>
    </row>
    <row r="117" spans="1:26">
      <c r="A117" s="33"/>
      <c r="B117" s="25"/>
      <c r="C117" s="25"/>
      <c r="D117" s="25"/>
      <c r="E117" s="34"/>
      <c r="F117" s="34"/>
      <c r="G117" s="25"/>
      <c r="H117" s="25"/>
      <c r="I117" s="25"/>
      <c r="J117" s="25"/>
      <c r="K117" s="25"/>
      <c r="L117" s="35"/>
      <c r="M117" s="25"/>
      <c r="N117" s="35"/>
      <c r="O117" s="25"/>
      <c r="P117" s="25"/>
      <c r="Q117" s="25"/>
      <c r="R117" s="35"/>
      <c r="S117" s="25"/>
      <c r="T117" s="25"/>
      <c r="U117" s="25"/>
      <c r="V117" s="35"/>
      <c r="W117" s="34"/>
      <c r="X117" s="34"/>
      <c r="Y117" s="25"/>
      <c r="Z117" s="35"/>
    </row>
    <row r="118" spans="1:26">
      <c r="A118" s="33"/>
      <c r="B118" s="25"/>
      <c r="C118" s="25"/>
      <c r="D118" s="25"/>
      <c r="E118" s="34"/>
      <c r="F118" s="34"/>
      <c r="G118" s="25"/>
      <c r="H118" s="25"/>
      <c r="I118" s="25"/>
      <c r="J118" s="25"/>
      <c r="K118" s="25"/>
      <c r="L118" s="35"/>
      <c r="M118" s="25"/>
      <c r="N118" s="35"/>
      <c r="O118" s="25"/>
      <c r="P118" s="25"/>
      <c r="Q118" s="25"/>
      <c r="R118" s="35"/>
      <c r="S118" s="25"/>
      <c r="T118" s="25"/>
      <c r="U118" s="25"/>
      <c r="V118" s="35"/>
      <c r="W118" s="34"/>
      <c r="X118" s="34"/>
      <c r="Y118" s="25"/>
      <c r="Z118" s="35"/>
    </row>
    <row r="119" spans="1:26">
      <c r="A119" s="33"/>
      <c r="B119" s="25"/>
      <c r="C119" s="25"/>
      <c r="D119" s="25"/>
      <c r="E119" s="34"/>
      <c r="F119" s="34"/>
      <c r="G119" s="25"/>
      <c r="H119" s="25"/>
      <c r="I119" s="25"/>
      <c r="J119" s="25"/>
      <c r="K119" s="25"/>
      <c r="L119" s="35"/>
      <c r="M119" s="25"/>
      <c r="N119" s="35"/>
      <c r="O119" s="25"/>
      <c r="P119" s="25"/>
      <c r="Q119" s="25"/>
      <c r="R119" s="35"/>
      <c r="S119" s="25"/>
      <c r="T119" s="25"/>
      <c r="U119" s="25"/>
      <c r="V119" s="35"/>
      <c r="W119" s="34"/>
      <c r="X119" s="34"/>
      <c r="Y119" s="25"/>
      <c r="Z119" s="35"/>
    </row>
    <row r="120" spans="1:26">
      <c r="A120" s="33"/>
      <c r="B120" s="25"/>
      <c r="C120" s="25"/>
      <c r="D120" s="25"/>
      <c r="E120" s="34"/>
      <c r="F120" s="34"/>
      <c r="G120" s="25"/>
      <c r="H120" s="25"/>
      <c r="I120" s="25"/>
      <c r="J120" s="25"/>
      <c r="K120" s="25"/>
      <c r="L120" s="35"/>
      <c r="M120" s="25"/>
      <c r="N120" s="35"/>
      <c r="O120" s="25"/>
      <c r="P120" s="25"/>
      <c r="Q120" s="25"/>
      <c r="R120" s="35"/>
      <c r="S120" s="25"/>
      <c r="T120" s="25"/>
      <c r="U120" s="25"/>
      <c r="V120" s="35"/>
      <c r="W120" s="34"/>
      <c r="X120" s="34"/>
      <c r="Y120" s="25"/>
      <c r="Z120" s="35"/>
    </row>
    <row r="121" spans="1:26">
      <c r="A121" s="33"/>
      <c r="B121" s="25"/>
      <c r="C121" s="25"/>
      <c r="D121" s="25"/>
      <c r="E121" s="34"/>
      <c r="F121" s="34"/>
      <c r="G121" s="25"/>
      <c r="H121" s="25"/>
      <c r="I121" s="25"/>
      <c r="J121" s="25"/>
      <c r="K121" s="25"/>
      <c r="L121" s="35"/>
      <c r="M121" s="25"/>
      <c r="N121" s="35"/>
      <c r="O121" s="25"/>
      <c r="P121" s="25"/>
      <c r="Q121" s="25"/>
      <c r="R121" s="35"/>
      <c r="S121" s="25"/>
      <c r="T121" s="25"/>
      <c r="U121" s="25"/>
      <c r="V121" s="35"/>
      <c r="W121" s="34"/>
      <c r="X121" s="34"/>
      <c r="Y121" s="25"/>
      <c r="Z121" s="35"/>
    </row>
    <row r="122" spans="1:26">
      <c r="A122" s="33"/>
      <c r="B122" s="25"/>
      <c r="C122" s="25"/>
      <c r="D122" s="25"/>
      <c r="E122" s="34"/>
      <c r="F122" s="34"/>
      <c r="G122" s="25"/>
      <c r="H122" s="25"/>
      <c r="I122" s="25"/>
      <c r="J122" s="25"/>
      <c r="K122" s="25"/>
      <c r="L122" s="35"/>
      <c r="M122" s="25"/>
      <c r="N122" s="35"/>
      <c r="O122" s="25"/>
      <c r="P122" s="25"/>
      <c r="Q122" s="25"/>
      <c r="R122" s="35"/>
      <c r="S122" s="25"/>
      <c r="T122" s="25"/>
      <c r="U122" s="25"/>
      <c r="V122" s="35"/>
      <c r="W122" s="34"/>
      <c r="X122" s="34"/>
      <c r="Y122" s="25"/>
      <c r="Z122" s="35"/>
    </row>
    <row r="123" spans="1:26">
      <c r="A123" s="33"/>
      <c r="B123" s="25"/>
      <c r="C123" s="25"/>
      <c r="D123" s="25"/>
      <c r="E123" s="34"/>
      <c r="F123" s="34"/>
      <c r="G123" s="25"/>
      <c r="H123" s="25"/>
      <c r="I123" s="25"/>
      <c r="J123" s="25"/>
      <c r="K123" s="25"/>
      <c r="L123" s="35"/>
      <c r="M123" s="25"/>
      <c r="N123" s="35"/>
      <c r="O123" s="25"/>
      <c r="P123" s="25"/>
      <c r="Q123" s="25"/>
      <c r="R123" s="35"/>
      <c r="S123" s="25"/>
      <c r="T123" s="25"/>
      <c r="U123" s="25"/>
      <c r="V123" s="35"/>
      <c r="W123" s="34"/>
      <c r="X123" s="34"/>
      <c r="Y123" s="25"/>
      <c r="Z123" s="35"/>
    </row>
    <row r="124" spans="1:26">
      <c r="A124" s="33"/>
      <c r="B124" s="25"/>
      <c r="C124" s="25"/>
      <c r="D124" s="25"/>
      <c r="E124" s="34"/>
      <c r="F124" s="34"/>
      <c r="G124" s="25"/>
      <c r="H124" s="25"/>
      <c r="I124" s="25"/>
      <c r="J124" s="25"/>
      <c r="K124" s="25"/>
      <c r="L124" s="35"/>
      <c r="M124" s="25"/>
      <c r="N124" s="35"/>
      <c r="O124" s="25"/>
      <c r="P124" s="25"/>
      <c r="Q124" s="25"/>
      <c r="R124" s="35"/>
      <c r="S124" s="25"/>
      <c r="T124" s="25"/>
      <c r="U124" s="25"/>
      <c r="V124" s="35"/>
      <c r="W124" s="34"/>
      <c r="X124" s="34"/>
      <c r="Y124" s="25"/>
      <c r="Z124" s="35"/>
    </row>
    <row r="125" spans="1:26">
      <c r="M125"/>
    </row>
    <row r="126" spans="1:26">
      <c r="A126" s="57"/>
      <c r="B126" s="56"/>
      <c r="C126" s="56"/>
      <c r="D126" s="56"/>
      <c r="E126" s="58"/>
      <c r="F126" s="58"/>
      <c r="G126" s="56"/>
      <c r="H126" s="56"/>
      <c r="I126" s="56"/>
      <c r="J126" s="56"/>
      <c r="K126" s="56"/>
      <c r="L126" s="59"/>
      <c r="M126" s="56"/>
      <c r="N126" s="59"/>
      <c r="O126" s="56"/>
      <c r="P126" s="56"/>
      <c r="Q126" s="56"/>
      <c r="R126" s="59"/>
      <c r="S126" s="56"/>
      <c r="T126" s="56"/>
      <c r="U126" s="56"/>
      <c r="V126" s="59"/>
      <c r="W126" s="58"/>
      <c r="X126" s="58"/>
      <c r="Y126" s="56"/>
      <c r="Z126" s="59"/>
    </row>
    <row r="127" spans="1:26">
      <c r="A127" s="57"/>
      <c r="B127" s="56"/>
      <c r="C127" s="56"/>
      <c r="D127" s="56"/>
      <c r="E127" s="58"/>
      <c r="F127" s="58"/>
      <c r="G127" s="56"/>
      <c r="H127" s="56"/>
      <c r="I127" s="56"/>
      <c r="J127" s="56"/>
      <c r="K127" s="56"/>
      <c r="L127" s="59"/>
      <c r="M127" s="56"/>
      <c r="N127" s="59"/>
      <c r="O127" s="56"/>
      <c r="P127" s="56"/>
      <c r="Q127" s="56"/>
      <c r="R127" s="59"/>
      <c r="S127" s="56"/>
      <c r="T127" s="56"/>
      <c r="U127" s="56"/>
      <c r="V127" s="59"/>
      <c r="W127" s="58"/>
      <c r="X127" s="58"/>
      <c r="Y127" s="56"/>
      <c r="Z127" s="59"/>
    </row>
    <row r="128" spans="1:26">
      <c r="A128" s="33"/>
      <c r="B128" s="25"/>
      <c r="C128" s="25"/>
      <c r="D128" s="25"/>
      <c r="E128" s="34"/>
      <c r="F128" s="34"/>
      <c r="G128" s="25"/>
      <c r="H128" s="25"/>
      <c r="I128" s="25"/>
      <c r="J128" s="25"/>
      <c r="K128" s="25"/>
      <c r="L128" s="35"/>
      <c r="M128" s="25"/>
      <c r="N128" s="35"/>
      <c r="O128" s="25"/>
      <c r="P128" s="25"/>
      <c r="Q128" s="25"/>
      <c r="R128" s="35"/>
      <c r="S128" s="25"/>
      <c r="T128" s="25"/>
      <c r="U128" s="25"/>
      <c r="V128" s="35"/>
      <c r="W128" s="34"/>
      <c r="X128" s="34"/>
      <c r="Y128" s="25"/>
      <c r="Z128" s="35"/>
    </row>
    <row r="129" spans="1:26">
      <c r="A129" s="33"/>
      <c r="B129" s="25"/>
      <c r="C129" s="25"/>
      <c r="D129" s="25"/>
      <c r="E129" s="34"/>
      <c r="F129" s="34"/>
      <c r="G129" s="25"/>
      <c r="H129" s="25"/>
      <c r="I129" s="25"/>
      <c r="J129" s="25"/>
      <c r="K129" s="25"/>
      <c r="L129" s="35"/>
      <c r="M129" s="25"/>
      <c r="N129" s="35"/>
      <c r="O129" s="25"/>
      <c r="P129" s="25"/>
      <c r="Q129" s="25"/>
      <c r="R129" s="35"/>
      <c r="S129" s="25"/>
      <c r="T129" s="25"/>
      <c r="U129" s="25"/>
      <c r="V129" s="35"/>
      <c r="W129" s="34"/>
      <c r="X129" s="34"/>
      <c r="Y129" s="25"/>
      <c r="Z129" s="35"/>
    </row>
    <row r="130" spans="1:26">
      <c r="A130" s="33"/>
      <c r="B130" s="25"/>
      <c r="C130" s="25"/>
      <c r="D130" s="25"/>
      <c r="E130" s="34"/>
      <c r="F130" s="34"/>
      <c r="G130" s="25"/>
      <c r="H130" s="25"/>
      <c r="I130" s="25"/>
      <c r="J130" s="25"/>
      <c r="K130" s="25"/>
      <c r="L130" s="35"/>
      <c r="M130" s="25"/>
      <c r="N130" s="35"/>
      <c r="O130" s="25"/>
      <c r="P130" s="25"/>
      <c r="Q130" s="25"/>
      <c r="R130" s="35"/>
      <c r="S130" s="25"/>
      <c r="T130" s="25"/>
      <c r="U130" s="25"/>
      <c r="V130" s="35"/>
      <c r="W130" s="34"/>
      <c r="X130" s="34"/>
      <c r="Y130" s="25"/>
      <c r="Z130" s="35"/>
    </row>
    <row r="131" spans="1:26">
      <c r="A131" s="33"/>
      <c r="B131" s="25"/>
      <c r="C131" s="25"/>
      <c r="D131" s="25"/>
      <c r="E131" s="34"/>
      <c r="F131" s="34"/>
      <c r="G131" s="25"/>
      <c r="H131" s="25"/>
      <c r="I131" s="25"/>
      <c r="J131" s="25"/>
      <c r="K131" s="25"/>
      <c r="L131" s="35"/>
      <c r="M131" s="25"/>
      <c r="N131" s="35"/>
      <c r="O131" s="25"/>
      <c r="P131" s="25"/>
      <c r="Q131" s="25"/>
      <c r="R131" s="35"/>
      <c r="S131" s="25"/>
      <c r="T131" s="25"/>
      <c r="U131" s="25"/>
      <c r="V131" s="35"/>
      <c r="W131" s="34"/>
      <c r="X131" s="34"/>
      <c r="Y131" s="25"/>
      <c r="Z131" s="35"/>
    </row>
    <row r="132" spans="1:26">
      <c r="A132" s="33"/>
      <c r="B132" s="25"/>
      <c r="C132" s="25"/>
      <c r="D132" s="25"/>
      <c r="E132" s="34"/>
      <c r="F132" s="34"/>
      <c r="G132" s="25"/>
      <c r="H132" s="25"/>
      <c r="I132" s="25"/>
      <c r="J132" s="25"/>
      <c r="K132" s="25"/>
      <c r="L132" s="35"/>
      <c r="M132" s="25"/>
      <c r="N132" s="35"/>
      <c r="O132" s="25"/>
      <c r="P132" s="25"/>
      <c r="Q132" s="25"/>
      <c r="R132" s="35"/>
      <c r="S132" s="25"/>
      <c r="T132" s="25"/>
      <c r="U132" s="25"/>
      <c r="V132" s="35"/>
      <c r="W132" s="34"/>
      <c r="X132" s="34"/>
      <c r="Y132" s="25"/>
      <c r="Z132" s="35"/>
    </row>
    <row r="133" spans="1:26">
      <c r="A133" s="33"/>
      <c r="B133" s="25"/>
      <c r="C133" s="25"/>
      <c r="D133" s="25"/>
      <c r="E133" s="34"/>
      <c r="F133" s="34"/>
      <c r="G133" s="25"/>
      <c r="H133" s="25"/>
      <c r="I133" s="25"/>
      <c r="J133" s="25"/>
      <c r="K133" s="25"/>
      <c r="L133" s="35"/>
      <c r="M133" s="25"/>
      <c r="N133" s="35"/>
      <c r="O133" s="25"/>
      <c r="P133" s="25"/>
      <c r="Q133" s="25"/>
      <c r="R133" s="35"/>
      <c r="S133" s="25"/>
      <c r="T133" s="25"/>
      <c r="U133" s="25"/>
      <c r="V133" s="35"/>
      <c r="W133" s="34"/>
      <c r="X133" s="34"/>
      <c r="Y133" s="25"/>
      <c r="Z133" s="35"/>
    </row>
    <row r="134" spans="1:26">
      <c r="A134" s="33"/>
      <c r="B134" s="25"/>
      <c r="C134" s="25"/>
      <c r="D134" s="25"/>
      <c r="E134" s="34"/>
      <c r="F134" s="34"/>
      <c r="G134" s="25"/>
      <c r="H134" s="25"/>
      <c r="I134" s="25"/>
      <c r="J134" s="25"/>
      <c r="K134" s="25"/>
      <c r="L134" s="35"/>
      <c r="M134" s="25"/>
      <c r="N134" s="35"/>
      <c r="O134" s="25"/>
      <c r="P134" s="25"/>
      <c r="Q134" s="25"/>
      <c r="R134" s="35"/>
      <c r="S134" s="25"/>
      <c r="T134" s="25"/>
      <c r="U134" s="25"/>
      <c r="V134" s="35"/>
      <c r="W134" s="34"/>
      <c r="X134" s="34"/>
      <c r="Y134" s="25"/>
      <c r="Z134" s="35"/>
    </row>
    <row r="135" spans="1:26">
      <c r="A135" s="33"/>
      <c r="B135" s="25"/>
      <c r="C135" s="25"/>
      <c r="D135" s="25"/>
      <c r="E135" s="34"/>
      <c r="F135" s="34"/>
      <c r="G135" s="25"/>
      <c r="H135" s="25"/>
      <c r="I135" s="25"/>
      <c r="J135" s="25"/>
      <c r="K135" s="25"/>
      <c r="L135" s="35"/>
      <c r="M135" s="25"/>
      <c r="N135" s="35"/>
      <c r="O135" s="25"/>
      <c r="P135" s="25"/>
      <c r="Q135" s="25"/>
      <c r="R135" s="35"/>
      <c r="S135" s="25"/>
      <c r="T135" s="25"/>
      <c r="U135" s="25"/>
      <c r="V135" s="35"/>
      <c r="W135" s="34"/>
      <c r="X135" s="34"/>
      <c r="Y135" s="25"/>
      <c r="Z135" s="35"/>
    </row>
    <row r="136" spans="1:26">
      <c r="A136" s="33"/>
      <c r="B136" s="25"/>
      <c r="C136" s="25"/>
      <c r="D136" s="25"/>
      <c r="E136" s="34"/>
      <c r="F136" s="34"/>
      <c r="G136" s="25"/>
      <c r="H136" s="25"/>
      <c r="I136" s="25"/>
      <c r="J136" s="25"/>
      <c r="K136" s="25"/>
      <c r="L136" s="35"/>
      <c r="M136" s="25"/>
      <c r="N136" s="35"/>
      <c r="O136" s="25"/>
      <c r="P136" s="25"/>
      <c r="Q136" s="25"/>
      <c r="R136" s="35"/>
      <c r="S136" s="25"/>
      <c r="T136" s="25"/>
      <c r="U136" s="25"/>
      <c r="V136" s="35"/>
      <c r="W136" s="34"/>
      <c r="X136" s="34"/>
      <c r="Y136" s="25"/>
      <c r="Z136" s="35"/>
    </row>
    <row r="137" spans="1:26">
      <c r="A137" s="33"/>
      <c r="B137" s="25"/>
      <c r="C137" s="25"/>
      <c r="D137" s="25"/>
      <c r="E137" s="34"/>
      <c r="F137" s="34"/>
      <c r="G137" s="25"/>
      <c r="H137" s="25"/>
      <c r="I137" s="25"/>
      <c r="J137" s="25"/>
      <c r="K137" s="25"/>
      <c r="L137" s="35"/>
      <c r="M137" s="25"/>
      <c r="N137" s="35"/>
      <c r="O137" s="25"/>
      <c r="P137" s="25"/>
      <c r="Q137" s="25"/>
      <c r="R137" s="35"/>
      <c r="S137" s="25"/>
      <c r="T137" s="25"/>
      <c r="U137" s="25"/>
      <c r="V137" s="35"/>
      <c r="W137" s="34"/>
      <c r="X137" s="34"/>
      <c r="Y137" s="25"/>
      <c r="Z137" s="35"/>
    </row>
    <row r="138" spans="1:26">
      <c r="M138"/>
    </row>
    <row r="139" spans="1:26">
      <c r="A139" s="57"/>
      <c r="B139" s="56"/>
      <c r="C139" s="56"/>
      <c r="D139" s="56"/>
      <c r="E139" s="58"/>
      <c r="F139" s="58"/>
      <c r="G139" s="56"/>
      <c r="H139" s="56"/>
      <c r="I139" s="56"/>
      <c r="J139" s="56"/>
      <c r="K139" s="56"/>
      <c r="L139" s="59"/>
      <c r="M139" s="56"/>
      <c r="N139" s="59"/>
      <c r="O139" s="56"/>
      <c r="P139" s="56"/>
      <c r="Q139" s="56"/>
      <c r="R139" s="59"/>
      <c r="S139" s="56"/>
      <c r="T139" s="56"/>
      <c r="U139" s="56"/>
      <c r="V139" s="59"/>
      <c r="W139" s="58"/>
      <c r="X139" s="58"/>
      <c r="Y139" s="56"/>
      <c r="Z139" s="59"/>
    </row>
    <row r="140" spans="1:26">
      <c r="A140" s="57"/>
      <c r="B140" s="56"/>
      <c r="C140" s="56"/>
      <c r="D140" s="56"/>
      <c r="E140" s="58"/>
      <c r="F140" s="58"/>
      <c r="G140" s="56"/>
      <c r="H140" s="56"/>
      <c r="I140" s="56"/>
      <c r="J140" s="56"/>
      <c r="K140" s="56"/>
      <c r="L140" s="59"/>
      <c r="M140" s="56"/>
      <c r="N140" s="59"/>
      <c r="O140" s="56"/>
      <c r="P140" s="56"/>
      <c r="Q140" s="56"/>
      <c r="R140" s="59"/>
      <c r="S140" s="56"/>
      <c r="T140" s="56"/>
      <c r="U140" s="56"/>
      <c r="V140" s="59"/>
      <c r="W140" s="58"/>
      <c r="X140" s="58"/>
      <c r="Y140" s="56"/>
      <c r="Z140" s="59"/>
    </row>
    <row r="141" spans="1:26">
      <c r="A141" s="33"/>
      <c r="B141" s="25"/>
      <c r="C141" s="25"/>
      <c r="D141" s="25"/>
      <c r="E141" s="34"/>
      <c r="F141" s="34"/>
      <c r="G141" s="25"/>
      <c r="H141" s="25"/>
      <c r="I141" s="25"/>
      <c r="J141" s="25"/>
      <c r="K141" s="25"/>
      <c r="L141" s="35"/>
      <c r="M141" s="25"/>
      <c r="N141" s="35"/>
      <c r="O141" s="25"/>
      <c r="P141" s="25"/>
      <c r="Q141" s="25"/>
      <c r="R141" s="35"/>
      <c r="S141" s="25"/>
      <c r="T141" s="25"/>
      <c r="U141" s="25"/>
      <c r="V141" s="35"/>
      <c r="W141" s="34"/>
      <c r="X141" s="34"/>
      <c r="Y141" s="25"/>
      <c r="Z141" s="35"/>
    </row>
    <row r="142" spans="1:26">
      <c r="A142" s="33"/>
      <c r="B142" s="25"/>
      <c r="C142" s="25"/>
      <c r="D142" s="25"/>
      <c r="E142" s="34"/>
      <c r="F142" s="34"/>
      <c r="G142" s="25"/>
      <c r="H142" s="25"/>
      <c r="I142" s="25"/>
      <c r="J142" s="25"/>
      <c r="K142" s="25"/>
      <c r="L142" s="35"/>
      <c r="M142" s="25"/>
      <c r="N142" s="35"/>
      <c r="O142" s="25"/>
      <c r="P142" s="25"/>
      <c r="Q142" s="25"/>
      <c r="R142" s="35"/>
      <c r="S142" s="25"/>
      <c r="T142" s="25"/>
      <c r="U142" s="25"/>
      <c r="V142" s="35"/>
      <c r="W142" s="34"/>
      <c r="X142" s="34"/>
      <c r="Y142" s="25"/>
      <c r="Z142" s="35"/>
    </row>
  </sheetData>
  <mergeCells count="1">
    <mergeCell ref="A1:J1"/>
  </mergeCells>
  <phoneticPr fontId="13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9" tint="-0.249977111117893"/>
  </sheetPr>
  <dimension ref="A1:Q399"/>
  <sheetViews>
    <sheetView tabSelected="1" topLeftCell="B1" zoomScaleNormal="100" workbookViewId="0">
      <selection activeCell="H18" sqref="H18"/>
    </sheetView>
  </sheetViews>
  <sheetFormatPr defaultColWidth="9" defaultRowHeight="13.2"/>
  <cols>
    <col min="1" max="1" width="12.296875" style="5" bestFit="1" customWidth="1"/>
    <col min="2" max="2" width="26.296875" style="5" bestFit="1" customWidth="1"/>
    <col min="3" max="3" width="12.296875" style="8" bestFit="1" customWidth="1"/>
    <col min="4" max="4" width="55.296875" style="5" customWidth="1"/>
    <col min="5" max="5" width="12.796875" style="8" bestFit="1" customWidth="1"/>
    <col min="6" max="6" width="13.5" style="24" bestFit="1" customWidth="1"/>
    <col min="7" max="7" width="12.5" style="11" bestFit="1" customWidth="1"/>
    <col min="8" max="8" width="24.69921875" style="5" bestFit="1" customWidth="1"/>
    <col min="9" max="9" width="10.59765625" style="6" bestFit="1" customWidth="1"/>
    <col min="10" max="10" width="13.5" style="10" bestFit="1" customWidth="1"/>
    <col min="11" max="11" width="13.5" style="7" bestFit="1" customWidth="1"/>
    <col min="12" max="12" width="14" style="4" customWidth="1"/>
    <col min="13" max="13" width="11" style="5" bestFit="1" customWidth="1"/>
    <col min="14" max="14" width="34.09765625" style="5" bestFit="1" customWidth="1"/>
    <col min="15" max="15" width="5.59765625" style="5" bestFit="1" customWidth="1"/>
    <col min="16" max="16" width="8" style="5" bestFit="1" customWidth="1"/>
    <col min="17" max="17" width="9.5" style="5" bestFit="1" customWidth="1"/>
    <col min="18" max="16384" width="9" style="5"/>
  </cols>
  <sheetData>
    <row r="1" spans="1:17">
      <c r="I1" s="6">
        <f>SUBTOTAL(9,I3:I32)</f>
        <v>376</v>
      </c>
      <c r="K1" s="6">
        <f>SUBTOTAL(9,K3:K32)</f>
        <v>831208</v>
      </c>
      <c r="M1" s="51" t="s">
        <v>27</v>
      </c>
      <c r="N1" s="51" t="s">
        <v>0</v>
      </c>
      <c r="O1" s="51" t="s">
        <v>71</v>
      </c>
      <c r="P1" s="51" t="s">
        <v>72</v>
      </c>
      <c r="Q1" s="51" t="s">
        <v>73</v>
      </c>
    </row>
    <row r="2" spans="1:17">
      <c r="A2" s="1" t="s">
        <v>66</v>
      </c>
      <c r="B2" s="1" t="s">
        <v>2</v>
      </c>
      <c r="C2" s="27" t="s">
        <v>3</v>
      </c>
      <c r="D2" s="1" t="s">
        <v>4</v>
      </c>
      <c r="E2" s="27" t="s">
        <v>5</v>
      </c>
      <c r="F2" s="2" t="s">
        <v>6</v>
      </c>
      <c r="G2" s="27" t="s">
        <v>8</v>
      </c>
      <c r="H2" s="1" t="s">
        <v>7</v>
      </c>
      <c r="I2" s="28" t="s">
        <v>9</v>
      </c>
      <c r="J2" s="29" t="s">
        <v>46</v>
      </c>
      <c r="K2" s="3" t="s">
        <v>10</v>
      </c>
      <c r="M2" s="52" t="s">
        <v>70</v>
      </c>
      <c r="N2" s="52" t="s">
        <v>74</v>
      </c>
      <c r="O2" s="53">
        <v>16</v>
      </c>
      <c r="P2" s="52" t="s">
        <v>75</v>
      </c>
      <c r="Q2" s="54">
        <v>45715</v>
      </c>
    </row>
    <row r="3" spans="1:17" ht="17.399999999999999">
      <c r="A3" s="61">
        <f>'GS DATA'!X3</f>
        <v>46106</v>
      </c>
      <c r="B3" s="4" t="str">
        <f>'GS DATA'!J3</f>
        <v>VV73 (주)지에스리테일(라인물류2</v>
      </c>
      <c r="C3" s="37">
        <f>VLOOKUP(B3,'GS 점포명'!A:B,2,0)</f>
        <v>81052912</v>
      </c>
      <c r="D3" s="4" t="str">
        <f>'GS DATA'!J3</f>
        <v>VV73 (주)지에스리테일(라인물류2</v>
      </c>
      <c r="E3" s="37">
        <f>VLOOKUP(D3,'GS 점포명'!A:B,2,0)</f>
        <v>81052912</v>
      </c>
      <c r="F3" s="38">
        <f>'GS DATA'!M3</f>
        <v>8809020345212</v>
      </c>
      <c r="G3" s="39" t="str">
        <f>VLOOKUP($F3,'GS 제품코드'!$A:$C,3,0)</f>
        <v>ME00421185</v>
      </c>
      <c r="H3" s="40" t="str">
        <f>'GS DATA'!L3</f>
        <v>멘소래담)스프레이쿨타입180ML</v>
      </c>
      <c r="I3" s="55">
        <f>'GS DATA'!Q3</f>
        <v>16</v>
      </c>
      <c r="J3" s="55">
        <f>'GS DATA'!S3</f>
        <v>2349</v>
      </c>
      <c r="K3" s="55">
        <f t="shared" ref="K3" si="0">I3*J3</f>
        <v>37584</v>
      </c>
      <c r="N3" s="5" t="s">
        <v>76</v>
      </c>
    </row>
    <row r="4" spans="1:17" ht="17.399999999999999">
      <c r="A4" s="60">
        <f>'GS DATA'!X4</f>
        <v>46106</v>
      </c>
      <c r="B4" s="4" t="str">
        <f>'GS DATA'!J4</f>
        <v>VV73 (주)지에스리테일(라인물류2</v>
      </c>
      <c r="C4" s="37">
        <f>VLOOKUP(B4,'GS 점포명'!A:B,2,0)</f>
        <v>81052912</v>
      </c>
      <c r="D4" s="4" t="str">
        <f>'GS DATA'!J4</f>
        <v>VV73 (주)지에스리테일(라인물류2</v>
      </c>
      <c r="E4" s="37">
        <f>VLOOKUP(D4,'GS 점포명'!A:B,2,0)</f>
        <v>81052912</v>
      </c>
      <c r="F4" s="38">
        <f>'GS DATA'!M4</f>
        <v>8809020348978</v>
      </c>
      <c r="G4" s="39" t="str">
        <f>VLOOKUP($F4,'GS 제품코드'!$A:$C,3,0)</f>
        <v>ME00421150</v>
      </c>
      <c r="H4" s="40" t="str">
        <f>'GS DATA'!L4</f>
        <v>멘소래담)딥앤쿨스프레이150ML</v>
      </c>
      <c r="I4" s="55">
        <f>'GS DATA'!Q4</f>
        <v>48</v>
      </c>
      <c r="J4" s="55">
        <f>'GS DATA'!S4</f>
        <v>2923</v>
      </c>
      <c r="K4" s="55">
        <f t="shared" ref="K4:K22" si="1">I4*J4</f>
        <v>140304</v>
      </c>
    </row>
    <row r="5" spans="1:17" s="48" customFormat="1" ht="17.399999999999999">
      <c r="A5" s="60">
        <f>'GS DATA'!X5</f>
        <v>46106</v>
      </c>
      <c r="B5" s="4" t="str">
        <f>'GS DATA'!J5</f>
        <v>VV61 ㈜지에스리테일엠투엠경산</v>
      </c>
      <c r="C5" s="37">
        <f>VLOOKUP(B5,'GS 점포명'!A:B,2,0)</f>
        <v>81052908</v>
      </c>
      <c r="D5" s="4" t="str">
        <f>'GS DATA'!J5</f>
        <v>VV61 ㈜지에스리테일엠투엠경산</v>
      </c>
      <c r="E5" s="37">
        <f>VLOOKUP(D5,'GS 점포명'!A:B,2,0)</f>
        <v>81052908</v>
      </c>
      <c r="F5" s="38">
        <f>'GS DATA'!M5</f>
        <v>8809020345229</v>
      </c>
      <c r="G5" s="39" t="str">
        <f>VLOOKUP($F5,'GS 제품코드'!$A:$C,3,0)</f>
        <v>ME00421300</v>
      </c>
      <c r="H5" s="40" t="str">
        <f>'GS DATA'!L5</f>
        <v>멘소래담)스프레이핫타입180ML</v>
      </c>
      <c r="I5" s="55">
        <f>'GS DATA'!Q5</f>
        <v>16</v>
      </c>
      <c r="J5" s="55">
        <f>'GS DATA'!S5</f>
        <v>2560</v>
      </c>
      <c r="K5" s="55">
        <f t="shared" si="1"/>
        <v>40960</v>
      </c>
      <c r="L5" s="4"/>
    </row>
    <row r="6" spans="1:17" s="48" customFormat="1" ht="17.399999999999999">
      <c r="A6" s="49">
        <f>'GS DATA'!X6</f>
        <v>46106</v>
      </c>
      <c r="B6" s="4" t="str">
        <f>'GS DATA'!J6</f>
        <v>VV59 (주)지에스리테일엠투엠광주</v>
      </c>
      <c r="C6" s="37">
        <f>VLOOKUP(B6,'GS 점포명'!A:B,2,0)</f>
        <v>81052907</v>
      </c>
      <c r="D6" s="4" t="str">
        <f>'GS DATA'!J6</f>
        <v>VV59 (주)지에스리테일엠투엠광주</v>
      </c>
      <c r="E6" s="37">
        <f>VLOOKUP(D6,'GS 점포명'!A:B,2,0)</f>
        <v>81052907</v>
      </c>
      <c r="F6" s="38">
        <f>'GS DATA'!M6</f>
        <v>8809020343744</v>
      </c>
      <c r="G6" s="39" t="str">
        <f>VLOOKUP($F6,'GS 제품코드'!$A:$C,3,0)</f>
        <v>ME00621CCP</v>
      </c>
      <c r="H6" s="40" t="str">
        <f>'GS DATA'!L6</f>
        <v>아크네스)퍼펙트스팟패치(18매)</v>
      </c>
      <c r="I6" s="55">
        <f>'GS DATA'!Q6</f>
        <v>40</v>
      </c>
      <c r="J6" s="55">
        <f>'GS DATA'!S6</f>
        <v>1432</v>
      </c>
      <c r="K6" s="55">
        <f t="shared" si="1"/>
        <v>57280</v>
      </c>
      <c r="L6" s="4"/>
    </row>
    <row r="7" spans="1:17" s="48" customFormat="1" ht="17.399999999999999">
      <c r="A7" s="49">
        <f>'GS DATA'!X7</f>
        <v>46106</v>
      </c>
      <c r="B7" s="4" t="str">
        <f>'GS DATA'!J7</f>
        <v>VV59 (주)지에스리테일엠투엠광주</v>
      </c>
      <c r="C7" s="37">
        <f>VLOOKUP(B7,'GS 점포명'!A:B,2,0)</f>
        <v>81052907</v>
      </c>
      <c r="D7" s="4" t="str">
        <f>'GS DATA'!J7</f>
        <v>VV59 (주)지에스리테일엠투엠광주</v>
      </c>
      <c r="E7" s="37">
        <f>VLOOKUP(D7,'GS 점포명'!A:B,2,0)</f>
        <v>81052907</v>
      </c>
      <c r="F7" s="38">
        <f>'GS DATA'!M7</f>
        <v>8809020345229</v>
      </c>
      <c r="G7" s="39" t="str">
        <f>VLOOKUP($F7,'GS 제품코드'!$A:$C,3,0)</f>
        <v>ME00421300</v>
      </c>
      <c r="H7" s="40" t="str">
        <f>'GS DATA'!L7</f>
        <v>멘소래담)스프레이핫타입180ML</v>
      </c>
      <c r="I7" s="55">
        <f>'GS DATA'!Q7</f>
        <v>16</v>
      </c>
      <c r="J7" s="55">
        <f>'GS DATA'!S7</f>
        <v>2560</v>
      </c>
      <c r="K7" s="55">
        <f t="shared" si="1"/>
        <v>40960</v>
      </c>
      <c r="L7" s="4"/>
    </row>
    <row r="8" spans="1:17" ht="17.399999999999999">
      <c r="A8" s="49">
        <f>'GS DATA'!X8</f>
        <v>46106</v>
      </c>
      <c r="B8" s="4" t="str">
        <f>'GS DATA'!J8</f>
        <v>VV24 (주)지에스리테일(세윤CVS)</v>
      </c>
      <c r="C8" s="37">
        <f>VLOOKUP(B8,'GS 점포명'!A:B,2,0)</f>
        <v>81052903</v>
      </c>
      <c r="D8" s="4" t="str">
        <f>'GS DATA'!J8</f>
        <v>VV24 (주)지에스리테일(세윤CVS)</v>
      </c>
      <c r="E8" s="37">
        <f>VLOOKUP(D8,'GS 점포명'!A:B,2,0)</f>
        <v>81052903</v>
      </c>
      <c r="F8" s="38">
        <f>'GS DATA'!M8</f>
        <v>8809020345212</v>
      </c>
      <c r="G8" s="39" t="str">
        <f>VLOOKUP($F8,'GS 제품코드'!$A:$C,3,0)</f>
        <v>ME00421185</v>
      </c>
      <c r="H8" s="40" t="str">
        <f>'GS DATA'!L8</f>
        <v>멘소래담)스프레이쿨타입180ML</v>
      </c>
      <c r="I8" s="55">
        <f>'GS DATA'!Q8</f>
        <v>16</v>
      </c>
      <c r="J8" s="55">
        <f>'GS DATA'!S8</f>
        <v>2349</v>
      </c>
      <c r="K8" s="55">
        <f t="shared" si="1"/>
        <v>37584</v>
      </c>
    </row>
    <row r="9" spans="1:17" ht="17.399999999999999">
      <c r="A9" s="49">
        <f>'GS DATA'!X9</f>
        <v>46106</v>
      </c>
      <c r="B9" s="4" t="str">
        <f>'GS DATA'!J9</f>
        <v>VV24 (주)지에스리테일(세윤CVS)</v>
      </c>
      <c r="C9" s="37">
        <f>VLOOKUP(B9,'GS 점포명'!A:B,2,0)</f>
        <v>81052903</v>
      </c>
      <c r="D9" s="4" t="str">
        <f>'GS DATA'!J9</f>
        <v>VV24 (주)지에스리테일(세윤CVS)</v>
      </c>
      <c r="E9" s="37">
        <f>VLOOKUP(D9,'GS 점포명'!A:B,2,0)</f>
        <v>81052903</v>
      </c>
      <c r="F9" s="38">
        <f>'GS DATA'!M9</f>
        <v>8809020345229</v>
      </c>
      <c r="G9" s="39" t="str">
        <f>VLOOKUP($F9,'GS 제품코드'!$A:$C,3,0)</f>
        <v>ME00421300</v>
      </c>
      <c r="H9" s="40" t="str">
        <f>'GS DATA'!L9</f>
        <v>멘소래담)스프레이핫타입180ML</v>
      </c>
      <c r="I9" s="55">
        <f>'GS DATA'!Q9</f>
        <v>16</v>
      </c>
      <c r="J9" s="55">
        <f>'GS DATA'!S9</f>
        <v>2560</v>
      </c>
      <c r="K9" s="55">
        <f t="shared" si="1"/>
        <v>40960</v>
      </c>
    </row>
    <row r="10" spans="1:17" ht="17.399999999999999">
      <c r="A10" s="49">
        <f>'GS DATA'!X10</f>
        <v>46106</v>
      </c>
      <c r="B10" s="4" t="str">
        <f>'GS DATA'!J10</f>
        <v>VV24 (주)지에스리테일(세윤CVS)</v>
      </c>
      <c r="C10" s="37">
        <f>VLOOKUP(B10,'GS 점포명'!A:B,2,0)</f>
        <v>81052903</v>
      </c>
      <c r="D10" s="4" t="str">
        <f>'GS DATA'!J10</f>
        <v>VV24 (주)지에스리테일(세윤CVS)</v>
      </c>
      <c r="E10" s="37">
        <f>VLOOKUP(D10,'GS 점포명'!A:B,2,0)</f>
        <v>81052903</v>
      </c>
      <c r="F10" s="38">
        <f>'GS DATA'!M10</f>
        <v>8809020344024</v>
      </c>
      <c r="G10" s="39" t="str">
        <f>VLOOKUP($F10,'GS 제품코드'!$A:$C,3,0)</f>
        <v>ME00621FCC</v>
      </c>
      <c r="H10" s="40" t="str">
        <f>'GS DATA'!L10</f>
        <v>아크네스)포맨올인원로션150ML</v>
      </c>
      <c r="I10" s="55">
        <f>'GS DATA'!Q10</f>
        <v>12</v>
      </c>
      <c r="J10" s="55">
        <f>'GS DATA'!S10</f>
        <v>4725</v>
      </c>
      <c r="K10" s="55">
        <f t="shared" si="1"/>
        <v>56700</v>
      </c>
    </row>
    <row r="11" spans="1:17" ht="17.399999999999999">
      <c r="A11" s="49">
        <f>'GS DATA'!X11</f>
        <v>46106</v>
      </c>
      <c r="B11" s="4" t="str">
        <f>'GS DATA'!J11</f>
        <v>VV08 (주)지에스리테일(라인중부)</v>
      </c>
      <c r="C11" s="37">
        <f>VLOOKUP(B11,'GS 점포명'!A:B,2,0)</f>
        <v>81052902</v>
      </c>
      <c r="D11" s="4" t="str">
        <f>'GS DATA'!J11</f>
        <v>VV08 (주)지에스리테일(라인중부)</v>
      </c>
      <c r="E11" s="37">
        <f>VLOOKUP(D11,'GS 점포명'!A:B,2,0)</f>
        <v>81052902</v>
      </c>
      <c r="F11" s="38">
        <f>'GS DATA'!M11</f>
        <v>8809020343744</v>
      </c>
      <c r="G11" s="39" t="str">
        <f>VLOOKUP($F11,'GS 제품코드'!$A:$C,3,0)</f>
        <v>ME00621CCP</v>
      </c>
      <c r="H11" s="40" t="str">
        <f>'GS DATA'!L11</f>
        <v>아크네스)퍼펙트스팟패치(18매)</v>
      </c>
      <c r="I11" s="55">
        <f>'GS DATA'!Q11</f>
        <v>80</v>
      </c>
      <c r="J11" s="55">
        <f>'GS DATA'!S11</f>
        <v>1432</v>
      </c>
      <c r="K11" s="55">
        <f t="shared" si="1"/>
        <v>114560</v>
      </c>
    </row>
    <row r="12" spans="1:17" ht="17.399999999999999">
      <c r="A12" s="49">
        <f>'GS DATA'!X12</f>
        <v>46106</v>
      </c>
      <c r="B12" s="4" t="str">
        <f>'GS DATA'!J12</f>
        <v>VV08 (주)지에스리테일(라인중부)</v>
      </c>
      <c r="C12" s="37">
        <f>VLOOKUP(B12,'GS 점포명'!A:B,2,0)</f>
        <v>81052902</v>
      </c>
      <c r="D12" s="4" t="str">
        <f>'GS DATA'!J12</f>
        <v>VV08 (주)지에스리테일(라인중부)</v>
      </c>
      <c r="E12" s="37">
        <f>VLOOKUP(D12,'GS 점포명'!A:B,2,0)</f>
        <v>81052902</v>
      </c>
      <c r="F12" s="38">
        <f>'GS DATA'!M12</f>
        <v>8809020345212</v>
      </c>
      <c r="G12" s="39" t="str">
        <f>VLOOKUP($F12,'GS 제품코드'!$A:$C,3,0)</f>
        <v>ME00421185</v>
      </c>
      <c r="H12" s="40" t="str">
        <f>'GS DATA'!L12</f>
        <v>멘소래담)스프레이쿨타입180ML</v>
      </c>
      <c r="I12" s="55">
        <f>'GS DATA'!Q12</f>
        <v>48</v>
      </c>
      <c r="J12" s="55">
        <f>'GS DATA'!S12</f>
        <v>2349</v>
      </c>
      <c r="K12" s="55">
        <f t="shared" si="1"/>
        <v>112752</v>
      </c>
    </row>
    <row r="13" spans="1:17" ht="17.399999999999999">
      <c r="A13" s="49">
        <f>'GS DATA'!X13</f>
        <v>46106</v>
      </c>
      <c r="B13" s="4" t="str">
        <f>'GS DATA'!J13</f>
        <v>VV06 (주)지에스리테일(라인물류)</v>
      </c>
      <c r="C13" s="37">
        <f>VLOOKUP(B13,'GS 점포명'!A:B,2,0)</f>
        <v>81052901</v>
      </c>
      <c r="D13" s="4" t="str">
        <f>'GS DATA'!J13</f>
        <v>VV06 (주)지에스리테일(라인물류)</v>
      </c>
      <c r="E13" s="37">
        <f>VLOOKUP(D13,'GS 점포명'!A:B,2,0)</f>
        <v>81052901</v>
      </c>
      <c r="F13" s="38">
        <f>'GS DATA'!M13</f>
        <v>8809020343744</v>
      </c>
      <c r="G13" s="39" t="str">
        <f>VLOOKUP($F13,'GS 제품코드'!$A:$C,3,0)</f>
        <v>ME00621CCP</v>
      </c>
      <c r="H13" s="40" t="str">
        <f>'GS DATA'!L13</f>
        <v>아크네스)퍼펙트스팟패치(18매)</v>
      </c>
      <c r="I13" s="55">
        <f>'GS DATA'!Q13</f>
        <v>40</v>
      </c>
      <c r="J13" s="55">
        <f>'GS DATA'!S13</f>
        <v>1432</v>
      </c>
      <c r="K13" s="55">
        <f t="shared" si="1"/>
        <v>57280</v>
      </c>
    </row>
    <row r="14" spans="1:17" ht="17.399999999999999">
      <c r="A14" s="49">
        <f>'GS DATA'!X14</f>
        <v>46106</v>
      </c>
      <c r="B14" s="4" t="str">
        <f>'GS DATA'!J14</f>
        <v>VV06 (주)지에스리테일(라인물류)</v>
      </c>
      <c r="C14" s="37">
        <f>VLOOKUP(B14,'GS 점포명'!A:B,2,0)</f>
        <v>81052901</v>
      </c>
      <c r="D14" s="4" t="str">
        <f>'GS DATA'!J14</f>
        <v>VV06 (주)지에스리테일(라인물류)</v>
      </c>
      <c r="E14" s="37">
        <f>VLOOKUP(D14,'GS 점포명'!A:B,2,0)</f>
        <v>81052901</v>
      </c>
      <c r="F14" s="38">
        <f>'GS DATA'!M14</f>
        <v>8809020345212</v>
      </c>
      <c r="G14" s="39" t="str">
        <f>VLOOKUP($F14,'GS 제품코드'!$A:$C,3,0)</f>
        <v>ME00421185</v>
      </c>
      <c r="H14" s="40" t="str">
        <f>'GS DATA'!L14</f>
        <v>멘소래담)스프레이쿨타입180ML</v>
      </c>
      <c r="I14" s="55">
        <f>'GS DATA'!Q14</f>
        <v>16</v>
      </c>
      <c r="J14" s="55">
        <f>'GS DATA'!S14</f>
        <v>2349</v>
      </c>
      <c r="K14" s="55">
        <f t="shared" si="1"/>
        <v>37584</v>
      </c>
    </row>
    <row r="15" spans="1:17" ht="17.399999999999999">
      <c r="A15" s="49">
        <f>'GS DATA'!X15</f>
        <v>46106</v>
      </c>
      <c r="B15" s="4" t="str">
        <f>'GS DATA'!J15</f>
        <v>VV06 (주)지에스리테일(라인물류)</v>
      </c>
      <c r="C15" s="37">
        <f>VLOOKUP(B15,'GS 점포명'!A:B,2,0)</f>
        <v>81052901</v>
      </c>
      <c r="D15" s="4" t="str">
        <f>'GS DATA'!J15</f>
        <v>VV06 (주)지에스리테일(라인물류)</v>
      </c>
      <c r="E15" s="37">
        <f>VLOOKUP(D15,'GS 점포명'!A:B,2,0)</f>
        <v>81052901</v>
      </c>
      <c r="F15" s="38">
        <f>'GS DATA'!M15</f>
        <v>8809020344024</v>
      </c>
      <c r="G15" s="39" t="str">
        <f>VLOOKUP($F15,'GS 제품코드'!$A:$C,3,0)</f>
        <v>ME00621FCC</v>
      </c>
      <c r="H15" s="40" t="str">
        <f>'GS DATA'!L15</f>
        <v>아크네스)포맨올인원로션150ML</v>
      </c>
      <c r="I15" s="55">
        <f>'GS DATA'!Q15</f>
        <v>12</v>
      </c>
      <c r="J15" s="55">
        <f>'GS DATA'!S15</f>
        <v>4725</v>
      </c>
      <c r="K15" s="55">
        <f t="shared" si="1"/>
        <v>56700</v>
      </c>
    </row>
    <row r="16" spans="1:17" ht="17.399999999999999">
      <c r="A16" s="49">
        <f>'GS DATA'!X16</f>
        <v>0</v>
      </c>
      <c r="B16" s="4">
        <f>'GS DATA'!J16</f>
        <v>0</v>
      </c>
      <c r="C16" s="37" t="e">
        <f>VLOOKUP(B16,'GS 점포명'!A:B,2,0)</f>
        <v>#N/A</v>
      </c>
      <c r="D16" s="4">
        <f>'GS DATA'!J16</f>
        <v>0</v>
      </c>
      <c r="E16" s="37" t="e">
        <f>VLOOKUP(D16,'GS 점포명'!A:B,2,0)</f>
        <v>#N/A</v>
      </c>
      <c r="F16" s="38">
        <f>'GS DATA'!M16</f>
        <v>0</v>
      </c>
      <c r="G16" s="39" t="e">
        <f>VLOOKUP($F16,'GS 제품코드'!$A:$C,3,0)</f>
        <v>#N/A</v>
      </c>
      <c r="H16" s="40">
        <f>'GS DATA'!L16</f>
        <v>0</v>
      </c>
      <c r="I16" s="55">
        <f>'GS DATA'!Q16</f>
        <v>0</v>
      </c>
      <c r="J16" s="55">
        <f>'GS DATA'!S16</f>
        <v>0</v>
      </c>
      <c r="K16" s="55">
        <f t="shared" si="1"/>
        <v>0</v>
      </c>
    </row>
    <row r="17" spans="1:11" ht="17.399999999999999">
      <c r="A17" s="49">
        <f>'GS DATA'!X17</f>
        <v>0</v>
      </c>
      <c r="B17" s="4">
        <f>'GS DATA'!J17</f>
        <v>0</v>
      </c>
      <c r="C17" s="37" t="e">
        <f>VLOOKUP(B17,'GS 점포명'!A:B,2,0)</f>
        <v>#N/A</v>
      </c>
      <c r="D17" s="4">
        <f>'GS DATA'!J17</f>
        <v>0</v>
      </c>
      <c r="E17" s="37" t="e">
        <f>VLOOKUP(D17,'GS 점포명'!A:B,2,0)</f>
        <v>#N/A</v>
      </c>
      <c r="F17" s="38">
        <f>'GS DATA'!M17</f>
        <v>0</v>
      </c>
      <c r="G17" s="39" t="e">
        <f>VLOOKUP($F17,'GS 제품코드'!$A:$C,3,0)</f>
        <v>#N/A</v>
      </c>
      <c r="H17" s="40">
        <f>'GS DATA'!L17</f>
        <v>0</v>
      </c>
      <c r="I17" s="55">
        <f>'GS DATA'!Q17</f>
        <v>0</v>
      </c>
      <c r="J17" s="55">
        <f>'GS DATA'!S17</f>
        <v>0</v>
      </c>
      <c r="K17" s="55">
        <f t="shared" si="1"/>
        <v>0</v>
      </c>
    </row>
    <row r="18" spans="1:11" ht="17.399999999999999">
      <c r="A18" s="49">
        <f>'GS DATA'!X18</f>
        <v>0</v>
      </c>
      <c r="B18" s="4">
        <f>'GS DATA'!J18</f>
        <v>0</v>
      </c>
      <c r="C18" s="37" t="e">
        <f>VLOOKUP(B18,'GS 점포명'!A:B,2,0)</f>
        <v>#N/A</v>
      </c>
      <c r="D18" s="4">
        <f>'GS DATA'!J18</f>
        <v>0</v>
      </c>
      <c r="E18" s="37" t="e">
        <f>VLOOKUP(D18,'GS 점포명'!A:B,2,0)</f>
        <v>#N/A</v>
      </c>
      <c r="F18" s="38">
        <f>'GS DATA'!M18</f>
        <v>0</v>
      </c>
      <c r="G18" s="39" t="e">
        <f>VLOOKUP($F18,'GS 제품코드'!$A:$C,3,0)</f>
        <v>#N/A</v>
      </c>
      <c r="H18" s="40">
        <f>'GS DATA'!L18</f>
        <v>0</v>
      </c>
      <c r="I18" s="55">
        <f>'GS DATA'!Q18</f>
        <v>0</v>
      </c>
      <c r="J18" s="55">
        <f>'GS DATA'!S18</f>
        <v>0</v>
      </c>
      <c r="K18" s="55">
        <f t="shared" si="1"/>
        <v>0</v>
      </c>
    </row>
    <row r="19" spans="1:11" ht="17.399999999999999">
      <c r="A19" s="49">
        <f>'GS DATA'!X19</f>
        <v>0</v>
      </c>
      <c r="B19" s="4">
        <f>'GS DATA'!J19</f>
        <v>0</v>
      </c>
      <c r="C19" s="37" t="e">
        <f>VLOOKUP(B19,'GS 점포명'!A:B,2,0)</f>
        <v>#N/A</v>
      </c>
      <c r="D19" s="4">
        <f>'GS DATA'!J19</f>
        <v>0</v>
      </c>
      <c r="E19" s="37" t="e">
        <f>VLOOKUP(D19,'GS 점포명'!A:B,2,0)</f>
        <v>#N/A</v>
      </c>
      <c r="F19" s="38">
        <f>'GS DATA'!M19</f>
        <v>0</v>
      </c>
      <c r="G19" s="39" t="e">
        <f>VLOOKUP($F19,'GS 제품코드'!$A:$C,3,0)</f>
        <v>#N/A</v>
      </c>
      <c r="H19" s="40">
        <f>'GS DATA'!L19</f>
        <v>0</v>
      </c>
      <c r="I19" s="55">
        <f>'GS DATA'!Q19</f>
        <v>0</v>
      </c>
      <c r="J19" s="55">
        <f>'GS DATA'!S19</f>
        <v>0</v>
      </c>
      <c r="K19" s="55">
        <f t="shared" si="1"/>
        <v>0</v>
      </c>
    </row>
    <row r="20" spans="1:11" ht="17.399999999999999">
      <c r="A20" s="49">
        <f>'GS DATA'!X20</f>
        <v>0</v>
      </c>
      <c r="B20" s="4">
        <f>'GS DATA'!J20</f>
        <v>0</v>
      </c>
      <c r="C20" s="37" t="e">
        <f>VLOOKUP(B20,'GS 점포명'!A:B,2,0)</f>
        <v>#N/A</v>
      </c>
      <c r="D20" s="4">
        <f>'GS DATA'!J20</f>
        <v>0</v>
      </c>
      <c r="E20" s="37" t="e">
        <f>VLOOKUP(D20,'GS 점포명'!A:B,2,0)</f>
        <v>#N/A</v>
      </c>
      <c r="F20" s="38">
        <f>'GS DATA'!M20</f>
        <v>0</v>
      </c>
      <c r="G20" s="39" t="e">
        <f>VLOOKUP($F20,'GS 제품코드'!$A:$C,3,0)</f>
        <v>#N/A</v>
      </c>
      <c r="H20" s="40">
        <f>'GS DATA'!L20</f>
        <v>0</v>
      </c>
      <c r="I20" s="55">
        <f>'GS DATA'!Q20</f>
        <v>0</v>
      </c>
      <c r="J20" s="55">
        <f>'GS DATA'!S20</f>
        <v>0</v>
      </c>
      <c r="K20" s="55">
        <f t="shared" si="1"/>
        <v>0</v>
      </c>
    </row>
    <row r="21" spans="1:11" ht="17.399999999999999">
      <c r="A21" s="49">
        <f>'GS DATA'!X21</f>
        <v>0</v>
      </c>
      <c r="B21" s="4">
        <f>'GS DATA'!J21</f>
        <v>0</v>
      </c>
      <c r="C21" s="37" t="e">
        <f>VLOOKUP(B21,'GS 점포명'!A:B,2,0)</f>
        <v>#N/A</v>
      </c>
      <c r="D21" s="4">
        <f>'GS DATA'!J21</f>
        <v>0</v>
      </c>
      <c r="E21" s="37" t="e">
        <f>VLOOKUP(D21,'GS 점포명'!A:B,2,0)</f>
        <v>#N/A</v>
      </c>
      <c r="F21" s="38">
        <f>'GS DATA'!M21</f>
        <v>0</v>
      </c>
      <c r="G21" s="39" t="e">
        <f>VLOOKUP($F21,'GS 제품코드'!$A:$C,3,0)</f>
        <v>#N/A</v>
      </c>
      <c r="H21" s="40">
        <f>'GS DATA'!L21</f>
        <v>0</v>
      </c>
      <c r="I21" s="55">
        <f>'GS DATA'!Q21</f>
        <v>0</v>
      </c>
      <c r="J21" s="55">
        <f>'GS DATA'!S21</f>
        <v>0</v>
      </c>
      <c r="K21" s="55">
        <f t="shared" si="1"/>
        <v>0</v>
      </c>
    </row>
    <row r="22" spans="1:11" ht="17.399999999999999">
      <c r="A22" s="49">
        <f>'GS DATA'!X22</f>
        <v>0</v>
      </c>
      <c r="B22" s="4">
        <f>'GS DATA'!J22</f>
        <v>0</v>
      </c>
      <c r="C22" s="37" t="e">
        <f>VLOOKUP(B22,'GS 점포명'!A:B,2,0)</f>
        <v>#N/A</v>
      </c>
      <c r="D22" s="4">
        <f>'GS DATA'!J22</f>
        <v>0</v>
      </c>
      <c r="E22" s="37" t="e">
        <f>VLOOKUP(D22,'GS 점포명'!A:B,2,0)</f>
        <v>#N/A</v>
      </c>
      <c r="F22" s="38">
        <f>'GS DATA'!M22</f>
        <v>0</v>
      </c>
      <c r="G22" s="39" t="e">
        <f>VLOOKUP($F22,'GS 제품코드'!$A:$C,3,0)</f>
        <v>#N/A</v>
      </c>
      <c r="H22" s="40">
        <f>'GS DATA'!L22</f>
        <v>0</v>
      </c>
      <c r="I22" s="55">
        <f>'GS DATA'!Q22</f>
        <v>0</v>
      </c>
      <c r="J22" s="55">
        <f>'GS DATA'!S22</f>
        <v>0</v>
      </c>
      <c r="K22" s="55">
        <f t="shared" si="1"/>
        <v>0</v>
      </c>
    </row>
    <row r="23" spans="1:11" ht="17.399999999999999">
      <c r="A23" s="49">
        <f>'GS DATA'!X23</f>
        <v>0</v>
      </c>
      <c r="B23" s="4">
        <f>'GS DATA'!J23</f>
        <v>0</v>
      </c>
      <c r="C23" s="37" t="e">
        <f>VLOOKUP(B23,'GS 점포명'!A:B,2,0)</f>
        <v>#N/A</v>
      </c>
      <c r="D23" s="4">
        <f>'GS DATA'!J23</f>
        <v>0</v>
      </c>
      <c r="E23" s="37" t="e">
        <f>VLOOKUP(D23,'GS 점포명'!A:B,2,0)</f>
        <v>#N/A</v>
      </c>
      <c r="F23" s="38">
        <f>'GS DATA'!M23</f>
        <v>0</v>
      </c>
      <c r="G23" s="39" t="e">
        <f>VLOOKUP($F23,'GS 제품코드'!$A:$C,3,0)</f>
        <v>#N/A</v>
      </c>
      <c r="H23" s="40">
        <f>'GS DATA'!L23</f>
        <v>0</v>
      </c>
      <c r="I23" s="55">
        <f>'GS DATA'!Q23</f>
        <v>0</v>
      </c>
      <c r="J23" s="55">
        <f>'GS DATA'!S23</f>
        <v>0</v>
      </c>
      <c r="K23" s="55">
        <f t="shared" ref="K23:K29" si="2">I23*J23</f>
        <v>0</v>
      </c>
    </row>
    <row r="24" spans="1:11" ht="15.6">
      <c r="A24" s="49">
        <f>'GS DATA'!X24</f>
        <v>0</v>
      </c>
      <c r="B24" s="4">
        <f>'GS DATA'!J24</f>
        <v>0</v>
      </c>
      <c r="C24" s="37" t="e">
        <f>VLOOKUP(B24,'GS 점포명'!A:B,2,0)</f>
        <v>#N/A</v>
      </c>
      <c r="D24" s="4">
        <f>'GS DATA'!J24</f>
        <v>0</v>
      </c>
      <c r="E24" s="37" t="e">
        <f>VLOOKUP(D24,'GS 점포명'!A:B,2,0)</f>
        <v>#N/A</v>
      </c>
      <c r="F24" s="38">
        <f>'GS DATA'!M24</f>
        <v>0</v>
      </c>
      <c r="G24" s="39" t="e">
        <f>VLOOKUP($F24,'GS 제품코드'!$A:$C,3,0)</f>
        <v>#N/A</v>
      </c>
      <c r="H24" s="40">
        <f>'GS DATA'!L24</f>
        <v>0</v>
      </c>
      <c r="I24" s="41">
        <f>'GS DATA'!Q24</f>
        <v>0</v>
      </c>
      <c r="J24" s="42">
        <f>'GS DATA'!S24</f>
        <v>0</v>
      </c>
      <c r="K24" s="43">
        <f t="shared" si="2"/>
        <v>0</v>
      </c>
    </row>
    <row r="25" spans="1:11" ht="15.6">
      <c r="A25" s="49">
        <f>'GS DATA'!X25</f>
        <v>0</v>
      </c>
      <c r="B25" s="4">
        <f>'GS DATA'!J25</f>
        <v>0</v>
      </c>
      <c r="C25" s="37" t="e">
        <f>VLOOKUP(B25,'GS 점포명'!A:B,2,0)</f>
        <v>#N/A</v>
      </c>
      <c r="D25" s="4">
        <f>'GS DATA'!J25</f>
        <v>0</v>
      </c>
      <c r="E25" s="37" t="e">
        <f>VLOOKUP(D25,'GS 점포명'!A:B,2,0)</f>
        <v>#N/A</v>
      </c>
      <c r="F25" s="38">
        <f>'GS DATA'!M25</f>
        <v>0</v>
      </c>
      <c r="G25" s="39" t="e">
        <f>VLOOKUP($F25,'GS 제품코드'!$A:$C,3,0)</f>
        <v>#N/A</v>
      </c>
      <c r="H25" s="40">
        <f>'GS DATA'!L25</f>
        <v>0</v>
      </c>
      <c r="I25" s="41">
        <f>'GS DATA'!Q25</f>
        <v>0</v>
      </c>
      <c r="J25" s="42">
        <f>'GS DATA'!S25</f>
        <v>0</v>
      </c>
      <c r="K25" s="43">
        <f t="shared" si="2"/>
        <v>0</v>
      </c>
    </row>
    <row r="26" spans="1:11" ht="15.6">
      <c r="A26" s="49">
        <f>'GS DATA'!X26</f>
        <v>0</v>
      </c>
      <c r="B26" s="4">
        <f>'GS DATA'!J26</f>
        <v>0</v>
      </c>
      <c r="C26" s="37" t="e">
        <f>VLOOKUP(B26,'GS 점포명'!A:B,2,0)</f>
        <v>#N/A</v>
      </c>
      <c r="D26" s="4">
        <f>'GS DATA'!J26</f>
        <v>0</v>
      </c>
      <c r="E26" s="37" t="e">
        <f>VLOOKUP(D26,'GS 점포명'!A:B,2,0)</f>
        <v>#N/A</v>
      </c>
      <c r="F26" s="38">
        <f>'GS DATA'!M26</f>
        <v>0</v>
      </c>
      <c r="G26" s="39" t="e">
        <f>VLOOKUP($F26,'GS 제품코드'!$A:$C,3,0)</f>
        <v>#N/A</v>
      </c>
      <c r="H26" s="40">
        <f>'GS DATA'!L26</f>
        <v>0</v>
      </c>
      <c r="I26" s="41">
        <f>'GS DATA'!Q26</f>
        <v>0</v>
      </c>
      <c r="J26" s="42">
        <f>'GS DATA'!S26</f>
        <v>0</v>
      </c>
      <c r="K26" s="43">
        <f t="shared" si="2"/>
        <v>0</v>
      </c>
    </row>
    <row r="27" spans="1:11" ht="15.6">
      <c r="A27" s="49">
        <f>'GS DATA'!X27</f>
        <v>0</v>
      </c>
      <c r="B27" s="4">
        <f>'GS DATA'!J27</f>
        <v>0</v>
      </c>
      <c r="C27" s="37" t="e">
        <f>VLOOKUP(B27,'GS 점포명'!A:B,2,0)</f>
        <v>#N/A</v>
      </c>
      <c r="D27" s="4">
        <f>'GS DATA'!J27</f>
        <v>0</v>
      </c>
      <c r="E27" s="37" t="e">
        <f>VLOOKUP(D27,'GS 점포명'!A:B,2,0)</f>
        <v>#N/A</v>
      </c>
      <c r="F27" s="38">
        <f>'GS DATA'!M27</f>
        <v>0</v>
      </c>
      <c r="G27" s="39" t="e">
        <f>VLOOKUP($F27,'GS 제품코드'!$A:$C,3,0)</f>
        <v>#N/A</v>
      </c>
      <c r="H27" s="40">
        <f>'GS DATA'!L27</f>
        <v>0</v>
      </c>
      <c r="I27" s="41">
        <f>'GS DATA'!Q27</f>
        <v>0</v>
      </c>
      <c r="J27" s="42">
        <f>'GS DATA'!S27</f>
        <v>0</v>
      </c>
      <c r="K27" s="43">
        <f t="shared" si="2"/>
        <v>0</v>
      </c>
    </row>
    <row r="28" spans="1:11" ht="15.6">
      <c r="A28" s="49">
        <f>'GS DATA'!X28</f>
        <v>0</v>
      </c>
      <c r="B28" s="4">
        <f>'GS DATA'!J28</f>
        <v>0</v>
      </c>
      <c r="C28" s="37" t="e">
        <f>VLOOKUP(B28,'GS 점포명'!A:B,2,0)</f>
        <v>#N/A</v>
      </c>
      <c r="D28" s="4">
        <f>'GS DATA'!J28</f>
        <v>0</v>
      </c>
      <c r="E28" s="37" t="e">
        <f>VLOOKUP(D28,'GS 점포명'!A:B,2,0)</f>
        <v>#N/A</v>
      </c>
      <c r="F28" s="38">
        <f>'GS DATA'!M28</f>
        <v>0</v>
      </c>
      <c r="G28" s="39" t="e">
        <f>VLOOKUP($F28,'GS 제품코드'!$A:$C,3,0)</f>
        <v>#N/A</v>
      </c>
      <c r="H28" s="40">
        <f>'GS DATA'!L28</f>
        <v>0</v>
      </c>
      <c r="I28" s="41">
        <f>'GS DATA'!Q28</f>
        <v>0</v>
      </c>
      <c r="J28" s="42">
        <f>'GS DATA'!S28</f>
        <v>0</v>
      </c>
      <c r="K28" s="43">
        <f t="shared" si="2"/>
        <v>0</v>
      </c>
    </row>
    <row r="29" spans="1:11" ht="15.6">
      <c r="A29" s="49">
        <f>'GS DATA'!X29</f>
        <v>0</v>
      </c>
      <c r="B29" s="4">
        <f>'GS DATA'!J29</f>
        <v>0</v>
      </c>
      <c r="C29" s="37" t="e">
        <f>VLOOKUP(B29,'GS 점포명'!A:B,2,0)</f>
        <v>#N/A</v>
      </c>
      <c r="D29" s="4">
        <f>'GS DATA'!J29</f>
        <v>0</v>
      </c>
      <c r="E29" s="37" t="e">
        <f>VLOOKUP(D29,'GS 점포명'!A:B,2,0)</f>
        <v>#N/A</v>
      </c>
      <c r="F29" s="38">
        <f>'GS DATA'!M29</f>
        <v>0</v>
      </c>
      <c r="G29" s="39" t="e">
        <f>VLOOKUP($F29,'GS 제품코드'!$A:$C,3,0)</f>
        <v>#N/A</v>
      </c>
      <c r="H29" s="40">
        <f>'GS DATA'!L29</f>
        <v>0</v>
      </c>
      <c r="I29" s="41">
        <f>'GS DATA'!Q29</f>
        <v>0</v>
      </c>
      <c r="J29" s="42">
        <f>'GS DATA'!S29</f>
        <v>0</v>
      </c>
      <c r="K29" s="43">
        <f t="shared" si="2"/>
        <v>0</v>
      </c>
    </row>
    <row r="30" spans="1:11" ht="15.6">
      <c r="A30" s="49">
        <f>'GS DATA'!X30</f>
        <v>0</v>
      </c>
      <c r="B30" s="4">
        <f>'GS DATA'!J30</f>
        <v>0</v>
      </c>
      <c r="C30" s="37" t="e">
        <f>VLOOKUP(B30,'GS 점포명'!A:B,2,0)</f>
        <v>#N/A</v>
      </c>
      <c r="D30" s="4">
        <f>'GS DATA'!J30</f>
        <v>0</v>
      </c>
      <c r="E30" s="37" t="e">
        <f>VLOOKUP(D30,'GS 점포명'!A:B,2,0)</f>
        <v>#N/A</v>
      </c>
      <c r="F30" s="38">
        <f>'GS DATA'!M30</f>
        <v>0</v>
      </c>
      <c r="G30" s="39" t="e">
        <f>VLOOKUP($F30,'GS 제품코드'!$A:$C,3,0)</f>
        <v>#N/A</v>
      </c>
      <c r="H30" s="40">
        <f>'GS DATA'!L30</f>
        <v>0</v>
      </c>
      <c r="I30" s="41">
        <f>'GS DATA'!Q30</f>
        <v>0</v>
      </c>
      <c r="J30" s="42">
        <f>'GS DATA'!S30</f>
        <v>0</v>
      </c>
      <c r="K30" s="43">
        <f t="shared" ref="K30:K36" si="3">I30*J30</f>
        <v>0</v>
      </c>
    </row>
    <row r="31" spans="1:11" ht="15.6">
      <c r="A31" s="49">
        <f>'GS DATA'!X31</f>
        <v>0</v>
      </c>
      <c r="B31" s="4">
        <f>'GS DATA'!J31</f>
        <v>0</v>
      </c>
      <c r="C31" s="37" t="e">
        <f>VLOOKUP(B31,'GS 점포명'!A:B,2,0)</f>
        <v>#N/A</v>
      </c>
      <c r="D31" s="4">
        <f>'GS DATA'!J31</f>
        <v>0</v>
      </c>
      <c r="E31" s="37" t="e">
        <f>VLOOKUP(D31,'GS 점포명'!A:B,2,0)</f>
        <v>#N/A</v>
      </c>
      <c r="F31" s="38">
        <f>'GS DATA'!M31</f>
        <v>0</v>
      </c>
      <c r="G31" s="39" t="e">
        <f>VLOOKUP($F31,'GS 제품코드'!$A:$C,3,0)</f>
        <v>#N/A</v>
      </c>
      <c r="H31" s="40">
        <f>'GS DATA'!L31</f>
        <v>0</v>
      </c>
      <c r="I31" s="41">
        <f>'GS DATA'!Q31</f>
        <v>0</v>
      </c>
      <c r="J31" s="42">
        <f>'GS DATA'!S31</f>
        <v>0</v>
      </c>
      <c r="K31" s="43">
        <f t="shared" si="3"/>
        <v>0</v>
      </c>
    </row>
    <row r="32" spans="1:11" ht="15.6">
      <c r="A32" s="49">
        <f>'GS DATA'!X32</f>
        <v>0</v>
      </c>
      <c r="B32" s="4">
        <f>'GS DATA'!J32</f>
        <v>0</v>
      </c>
      <c r="C32" s="37" t="e">
        <f>VLOOKUP(B32,'GS 점포명'!A:B,2,0)</f>
        <v>#N/A</v>
      </c>
      <c r="D32" s="4">
        <f>'GS DATA'!J32</f>
        <v>0</v>
      </c>
      <c r="E32" s="37" t="e">
        <f>VLOOKUP(D32,'GS 점포명'!A:B,2,0)</f>
        <v>#N/A</v>
      </c>
      <c r="F32" s="38">
        <f>'GS DATA'!M32</f>
        <v>0</v>
      </c>
      <c r="G32" s="39" t="e">
        <f>VLOOKUP($F32,'GS 제품코드'!$A:$C,3,0)</f>
        <v>#N/A</v>
      </c>
      <c r="H32" s="40">
        <f>'GS DATA'!L32</f>
        <v>0</v>
      </c>
      <c r="I32" s="41">
        <f>'GS DATA'!Q32</f>
        <v>0</v>
      </c>
      <c r="J32" s="42">
        <f>'GS DATA'!S32</f>
        <v>0</v>
      </c>
      <c r="K32" s="43">
        <f t="shared" si="3"/>
        <v>0</v>
      </c>
    </row>
    <row r="33" spans="1:11" ht="15.6">
      <c r="A33" s="49">
        <f>'GS DATA'!X33</f>
        <v>0</v>
      </c>
      <c r="B33" s="4">
        <f>'GS DATA'!J33</f>
        <v>0</v>
      </c>
      <c r="C33" s="37" t="e">
        <f>VLOOKUP(B33,'GS 점포명'!A:B,2,0)</f>
        <v>#N/A</v>
      </c>
      <c r="D33" s="4">
        <f>'GS DATA'!J33</f>
        <v>0</v>
      </c>
      <c r="E33" s="37" t="e">
        <f>VLOOKUP(D33,'GS 점포명'!A:B,2,0)</f>
        <v>#N/A</v>
      </c>
      <c r="F33" s="38">
        <f>'GS DATA'!M33</f>
        <v>0</v>
      </c>
      <c r="G33" s="39" t="e">
        <f>VLOOKUP($F33,'GS 제품코드'!$A:$C,3,0)</f>
        <v>#N/A</v>
      </c>
      <c r="H33" s="40">
        <f>'GS DATA'!L33</f>
        <v>0</v>
      </c>
      <c r="I33" s="41">
        <f>'GS DATA'!Q33</f>
        <v>0</v>
      </c>
      <c r="J33" s="42">
        <f>'GS DATA'!S33</f>
        <v>0</v>
      </c>
      <c r="K33" s="43">
        <f t="shared" si="3"/>
        <v>0</v>
      </c>
    </row>
    <row r="34" spans="1:11" ht="15.6">
      <c r="A34" s="49">
        <f>'GS DATA'!X34</f>
        <v>0</v>
      </c>
      <c r="B34" s="4">
        <f>'GS DATA'!J34</f>
        <v>0</v>
      </c>
      <c r="C34" s="37" t="e">
        <f>VLOOKUP(B34,'GS 점포명'!A:B,2,0)</f>
        <v>#N/A</v>
      </c>
      <c r="D34" s="4">
        <f>'GS DATA'!J34</f>
        <v>0</v>
      </c>
      <c r="E34" s="37" t="e">
        <f>VLOOKUP(D34,'GS 점포명'!A:B,2,0)</f>
        <v>#N/A</v>
      </c>
      <c r="F34" s="38">
        <f>'GS DATA'!M34</f>
        <v>0</v>
      </c>
      <c r="G34" s="39" t="e">
        <f>VLOOKUP($F34,'GS 제품코드'!$A:$C,3,0)</f>
        <v>#N/A</v>
      </c>
      <c r="H34" s="40">
        <f>'GS DATA'!L34</f>
        <v>0</v>
      </c>
      <c r="I34" s="41">
        <f>'GS DATA'!Q34</f>
        <v>0</v>
      </c>
      <c r="J34" s="42">
        <f>'GS DATA'!S34</f>
        <v>0</v>
      </c>
      <c r="K34" s="43">
        <f t="shared" si="3"/>
        <v>0</v>
      </c>
    </row>
    <row r="35" spans="1:11" ht="15.6">
      <c r="A35" s="49">
        <f>'GS DATA'!X35</f>
        <v>0</v>
      </c>
      <c r="B35" s="4">
        <f>'GS DATA'!J35</f>
        <v>0</v>
      </c>
      <c r="C35" s="37" t="e">
        <f>VLOOKUP(B35,'GS 점포명'!A:B,2,0)</f>
        <v>#N/A</v>
      </c>
      <c r="D35" s="4">
        <f>'GS DATA'!J35</f>
        <v>0</v>
      </c>
      <c r="E35" s="37" t="e">
        <f>VLOOKUP(D35,'GS 점포명'!A:B,2,0)</f>
        <v>#N/A</v>
      </c>
      <c r="F35" s="38">
        <f>'GS DATA'!M35</f>
        <v>0</v>
      </c>
      <c r="G35" s="39" t="e">
        <f>VLOOKUP($F35,'GS 제품코드'!$A:$C,3,0)</f>
        <v>#N/A</v>
      </c>
      <c r="H35" s="40">
        <f>'GS DATA'!L35</f>
        <v>0</v>
      </c>
      <c r="I35" s="41">
        <f>'GS DATA'!Q35</f>
        <v>0</v>
      </c>
      <c r="J35" s="42">
        <f>'GS DATA'!S35</f>
        <v>0</v>
      </c>
      <c r="K35" s="43">
        <f t="shared" si="3"/>
        <v>0</v>
      </c>
    </row>
    <row r="36" spans="1:11" ht="15.6">
      <c r="A36" s="49">
        <f>'GS DATA'!X36</f>
        <v>0</v>
      </c>
      <c r="B36" s="4">
        <f>'GS DATA'!J36</f>
        <v>0</v>
      </c>
      <c r="C36" s="37" t="e">
        <f>VLOOKUP(B36,'GS 점포명'!A:B,2,0)</f>
        <v>#N/A</v>
      </c>
      <c r="D36" s="4">
        <f>'GS DATA'!J36</f>
        <v>0</v>
      </c>
      <c r="E36" s="37" t="e">
        <f>VLOOKUP(D36,'GS 점포명'!A:B,2,0)</f>
        <v>#N/A</v>
      </c>
      <c r="F36" s="38">
        <f>'GS DATA'!M36</f>
        <v>0</v>
      </c>
      <c r="G36" s="39" t="e">
        <f>VLOOKUP($F36,'GS 제품코드'!$A:$C,3,0)</f>
        <v>#N/A</v>
      </c>
      <c r="H36" s="40">
        <f>'GS DATA'!L36</f>
        <v>0</v>
      </c>
      <c r="I36" s="41">
        <f>'GS DATA'!Q36</f>
        <v>0</v>
      </c>
      <c r="J36" s="42">
        <f>'GS DATA'!S36</f>
        <v>0</v>
      </c>
      <c r="K36" s="43">
        <f t="shared" si="3"/>
        <v>0</v>
      </c>
    </row>
    <row r="37" spans="1:11" ht="15.6">
      <c r="A37" s="49">
        <f>'GS DATA'!X37</f>
        <v>0</v>
      </c>
      <c r="B37" s="4">
        <f>'GS DATA'!J37</f>
        <v>0</v>
      </c>
      <c r="C37" s="37" t="e">
        <f>VLOOKUP(B37,'GS 점포명'!A:B,2,0)</f>
        <v>#N/A</v>
      </c>
      <c r="D37" s="4">
        <f>'GS DATA'!J37</f>
        <v>0</v>
      </c>
      <c r="E37" s="37" t="e">
        <f>VLOOKUP(D37,'GS 점포명'!A:B,2,0)</f>
        <v>#N/A</v>
      </c>
      <c r="F37" s="38">
        <f>'GS DATA'!M37</f>
        <v>0</v>
      </c>
      <c r="G37" s="39" t="e">
        <f>VLOOKUP($F37,'GS 제품코드'!$A:$C,3,0)</f>
        <v>#N/A</v>
      </c>
      <c r="H37" s="40">
        <f>'GS DATA'!L37</f>
        <v>0</v>
      </c>
      <c r="I37" s="41">
        <f>'GS DATA'!Q37</f>
        <v>0</v>
      </c>
      <c r="J37" s="42">
        <f>'GS DATA'!S37</f>
        <v>0</v>
      </c>
      <c r="K37" s="43">
        <f t="shared" ref="K37:K40" si="4">I37*J37</f>
        <v>0</v>
      </c>
    </row>
    <row r="38" spans="1:11" ht="15.6">
      <c r="A38" s="49">
        <f>'GS DATA'!X38</f>
        <v>0</v>
      </c>
      <c r="B38" s="4">
        <f>'GS DATA'!J38</f>
        <v>0</v>
      </c>
      <c r="C38" s="37" t="e">
        <f>VLOOKUP(B38,'GS 점포명'!A:B,2,0)</f>
        <v>#N/A</v>
      </c>
      <c r="D38" s="4">
        <f>'GS DATA'!J38</f>
        <v>0</v>
      </c>
      <c r="E38" s="37" t="e">
        <f>VLOOKUP(D38,'GS 점포명'!A:B,2,0)</f>
        <v>#N/A</v>
      </c>
      <c r="F38" s="38">
        <f>'GS DATA'!M38</f>
        <v>0</v>
      </c>
      <c r="G38" s="39" t="e">
        <f>VLOOKUP($F38,'GS 제품코드'!$A:$C,3,0)</f>
        <v>#N/A</v>
      </c>
      <c r="H38" s="40">
        <f>'GS DATA'!L38</f>
        <v>0</v>
      </c>
      <c r="I38" s="41">
        <f>'GS DATA'!Q38</f>
        <v>0</v>
      </c>
      <c r="J38" s="42">
        <f>'GS DATA'!S38</f>
        <v>0</v>
      </c>
      <c r="K38" s="43">
        <f t="shared" si="4"/>
        <v>0</v>
      </c>
    </row>
    <row r="39" spans="1:11" ht="15.6">
      <c r="A39" s="49">
        <f>'GS DATA'!X39</f>
        <v>0</v>
      </c>
      <c r="B39" s="4">
        <f>'GS DATA'!J39</f>
        <v>0</v>
      </c>
      <c r="C39" s="37" t="e">
        <f>VLOOKUP(B39,'GS 점포명'!A:B,2,0)</f>
        <v>#N/A</v>
      </c>
      <c r="D39" s="4">
        <f>'GS DATA'!J39</f>
        <v>0</v>
      </c>
      <c r="E39" s="37" t="e">
        <f>VLOOKUP(D39,'GS 점포명'!A:B,2,0)</f>
        <v>#N/A</v>
      </c>
      <c r="F39" s="38">
        <f>'GS DATA'!M39</f>
        <v>0</v>
      </c>
      <c r="G39" s="39" t="e">
        <f>VLOOKUP($F39,'GS 제품코드'!$A:$C,3,0)</f>
        <v>#N/A</v>
      </c>
      <c r="H39" s="40">
        <f>'GS DATA'!L39</f>
        <v>0</v>
      </c>
      <c r="I39" s="41">
        <f>'GS DATA'!Q39</f>
        <v>0</v>
      </c>
      <c r="J39" s="42">
        <f>'GS DATA'!S39</f>
        <v>0</v>
      </c>
      <c r="K39" s="43">
        <f t="shared" si="4"/>
        <v>0</v>
      </c>
    </row>
    <row r="40" spans="1:11" ht="15.6">
      <c r="A40" s="49">
        <f>'GS DATA'!X40</f>
        <v>0</v>
      </c>
      <c r="B40" s="4">
        <f>'GS DATA'!J40</f>
        <v>0</v>
      </c>
      <c r="C40" s="37" t="e">
        <f>VLOOKUP(B40,'GS 점포명'!A:B,2,0)</f>
        <v>#N/A</v>
      </c>
      <c r="D40" s="4">
        <f>'GS DATA'!J40</f>
        <v>0</v>
      </c>
      <c r="E40" s="37" t="e">
        <f>VLOOKUP(D40,'GS 점포명'!A:B,2,0)</f>
        <v>#N/A</v>
      </c>
      <c r="F40" s="38">
        <f>'GS DATA'!M40</f>
        <v>0</v>
      </c>
      <c r="G40" s="39" t="e">
        <f>VLOOKUP($F40,'GS 제품코드'!$A:$C,3,0)</f>
        <v>#N/A</v>
      </c>
      <c r="H40" s="40">
        <f>'GS DATA'!L40</f>
        <v>0</v>
      </c>
      <c r="I40" s="41">
        <f>'GS DATA'!Q40</f>
        <v>0</v>
      </c>
      <c r="J40" s="42">
        <f>'GS DATA'!S40</f>
        <v>0</v>
      </c>
      <c r="K40" s="43">
        <f t="shared" si="4"/>
        <v>0</v>
      </c>
    </row>
    <row r="41" spans="1:11" ht="15.6">
      <c r="A41" s="49">
        <f>'GS DATA'!X41</f>
        <v>0</v>
      </c>
      <c r="B41" s="4">
        <f>'GS DATA'!J41</f>
        <v>0</v>
      </c>
      <c r="C41" s="37" t="e">
        <f>VLOOKUP(B41,'GS 점포명'!A:B,2,0)</f>
        <v>#N/A</v>
      </c>
      <c r="D41" s="4">
        <f>'GS DATA'!J41</f>
        <v>0</v>
      </c>
      <c r="E41" s="37" t="e">
        <f>VLOOKUP(D41,'GS 점포명'!A:B,2,0)</f>
        <v>#N/A</v>
      </c>
      <c r="F41" s="38">
        <f>'GS DATA'!M41</f>
        <v>0</v>
      </c>
      <c r="G41" s="39" t="e">
        <f>VLOOKUP($F41,'GS 제품코드'!$A:$C,3,0)</f>
        <v>#N/A</v>
      </c>
      <c r="H41" s="40">
        <f>'GS DATA'!L41</f>
        <v>0</v>
      </c>
      <c r="I41" s="41">
        <f>'GS DATA'!Q41</f>
        <v>0</v>
      </c>
      <c r="J41" s="42">
        <f>'GS DATA'!S41</f>
        <v>0</v>
      </c>
      <c r="K41" s="43">
        <f t="shared" ref="K41:K44" si="5">I41*J41</f>
        <v>0</v>
      </c>
    </row>
    <row r="42" spans="1:11" ht="15.6">
      <c r="A42" s="49">
        <f>'GS DATA'!X42</f>
        <v>0</v>
      </c>
      <c r="B42" s="4">
        <f>'GS DATA'!J42</f>
        <v>0</v>
      </c>
      <c r="C42" s="37" t="e">
        <f>VLOOKUP(B42,'GS 점포명'!A:B,2,0)</f>
        <v>#N/A</v>
      </c>
      <c r="D42" s="4">
        <f>'GS DATA'!J42</f>
        <v>0</v>
      </c>
      <c r="E42" s="37" t="e">
        <f>VLOOKUP(D42,'GS 점포명'!A:B,2,0)</f>
        <v>#N/A</v>
      </c>
      <c r="F42" s="38">
        <f>'GS DATA'!M42</f>
        <v>0</v>
      </c>
      <c r="G42" s="39" t="e">
        <f>VLOOKUP($F42,'GS 제품코드'!$A:$C,3,0)</f>
        <v>#N/A</v>
      </c>
      <c r="H42" s="40">
        <f>'GS DATA'!L42</f>
        <v>0</v>
      </c>
      <c r="I42" s="41">
        <f>'GS DATA'!Q42</f>
        <v>0</v>
      </c>
      <c r="J42" s="42">
        <f>'GS DATA'!S42</f>
        <v>0</v>
      </c>
      <c r="K42" s="43">
        <f t="shared" si="5"/>
        <v>0</v>
      </c>
    </row>
    <row r="43" spans="1:11" ht="15.6">
      <c r="A43" s="49">
        <f>'GS DATA'!X43</f>
        <v>0</v>
      </c>
      <c r="B43" s="4">
        <f>'GS DATA'!J43</f>
        <v>0</v>
      </c>
      <c r="C43" s="37" t="e">
        <f>VLOOKUP(B43,'GS 점포명'!A:B,2,0)</f>
        <v>#N/A</v>
      </c>
      <c r="D43" s="4">
        <f>'GS DATA'!J43</f>
        <v>0</v>
      </c>
      <c r="E43" s="37" t="e">
        <f>VLOOKUP(D43,'GS 점포명'!A:B,2,0)</f>
        <v>#N/A</v>
      </c>
      <c r="F43" s="38">
        <f>'GS DATA'!M43</f>
        <v>0</v>
      </c>
      <c r="G43" s="39" t="e">
        <f>VLOOKUP($F43,'GS 제품코드'!$A:$C,3,0)</f>
        <v>#N/A</v>
      </c>
      <c r="H43" s="40">
        <f>'GS DATA'!L43</f>
        <v>0</v>
      </c>
      <c r="I43" s="41">
        <f>'GS DATA'!Q43</f>
        <v>0</v>
      </c>
      <c r="J43" s="42">
        <f>'GS DATA'!S43</f>
        <v>0</v>
      </c>
      <c r="K43" s="43">
        <f t="shared" si="5"/>
        <v>0</v>
      </c>
    </row>
    <row r="44" spans="1:11" ht="15.6">
      <c r="A44" s="49">
        <f>'GS DATA'!X44</f>
        <v>0</v>
      </c>
      <c r="B44" s="4">
        <f>'GS DATA'!J44</f>
        <v>0</v>
      </c>
      <c r="C44" s="37" t="e">
        <f>VLOOKUP(B44,'GS 점포명'!A:B,2,0)</f>
        <v>#N/A</v>
      </c>
      <c r="D44" s="4">
        <f>'GS DATA'!J44</f>
        <v>0</v>
      </c>
      <c r="E44" s="37" t="e">
        <f>VLOOKUP(D44,'GS 점포명'!A:B,2,0)</f>
        <v>#N/A</v>
      </c>
      <c r="F44" s="38">
        <f>'GS DATA'!M44</f>
        <v>0</v>
      </c>
      <c r="G44" s="39" t="e">
        <f>VLOOKUP($F44,'GS 제품코드'!$A:$C,3,0)</f>
        <v>#N/A</v>
      </c>
      <c r="H44" s="40">
        <f>'GS DATA'!L44</f>
        <v>0</v>
      </c>
      <c r="I44" s="41">
        <f>'GS DATA'!Q44</f>
        <v>0</v>
      </c>
      <c r="J44" s="42">
        <f>'GS DATA'!S44</f>
        <v>0</v>
      </c>
      <c r="K44" s="43">
        <f t="shared" si="5"/>
        <v>0</v>
      </c>
    </row>
    <row r="45" spans="1:11" ht="15.6">
      <c r="A45" s="49">
        <f>'GS DATA'!X45</f>
        <v>0</v>
      </c>
      <c r="B45" s="4">
        <f>'GS DATA'!J45</f>
        <v>0</v>
      </c>
      <c r="C45" s="37" t="e">
        <f>VLOOKUP(B45,'GS 점포명'!A:B,2,0)</f>
        <v>#N/A</v>
      </c>
      <c r="D45" s="4">
        <f>'GS DATA'!J45</f>
        <v>0</v>
      </c>
      <c r="E45" s="37" t="e">
        <f>VLOOKUP(D45,'GS 점포명'!A:B,2,0)</f>
        <v>#N/A</v>
      </c>
      <c r="F45" s="38">
        <f>'GS DATA'!M45</f>
        <v>0</v>
      </c>
      <c r="G45" s="39" t="e">
        <f>VLOOKUP($F45,'GS 제품코드'!$A:$C,3,0)</f>
        <v>#N/A</v>
      </c>
      <c r="H45" s="40">
        <f>'GS DATA'!L45</f>
        <v>0</v>
      </c>
      <c r="I45" s="41">
        <f>'GS DATA'!Q45</f>
        <v>0</v>
      </c>
      <c r="J45" s="42">
        <f>'GS DATA'!S45</f>
        <v>0</v>
      </c>
      <c r="K45" s="43">
        <f t="shared" ref="K45:K98" si="6">I45*J45</f>
        <v>0</v>
      </c>
    </row>
    <row r="46" spans="1:11" ht="15.6">
      <c r="A46" s="49">
        <f>'GS DATA'!X46</f>
        <v>0</v>
      </c>
      <c r="B46" s="4">
        <f>'GS DATA'!J46</f>
        <v>0</v>
      </c>
      <c r="C46" s="37" t="e">
        <f>VLOOKUP(B46,'GS 점포명'!A:B,2,0)</f>
        <v>#N/A</v>
      </c>
      <c r="D46" s="4">
        <f>'GS DATA'!J46</f>
        <v>0</v>
      </c>
      <c r="E46" s="37" t="e">
        <f>VLOOKUP(D46,'GS 점포명'!A:B,2,0)</f>
        <v>#N/A</v>
      </c>
      <c r="F46" s="38">
        <f>'GS DATA'!M46</f>
        <v>0</v>
      </c>
      <c r="G46" s="39" t="e">
        <f>VLOOKUP($F46,'GS 제품코드'!$A:$C,3,0)</f>
        <v>#N/A</v>
      </c>
      <c r="H46" s="40">
        <f>'GS DATA'!L46</f>
        <v>0</v>
      </c>
      <c r="I46" s="41">
        <f>'GS DATA'!Q46</f>
        <v>0</v>
      </c>
      <c r="J46" s="42">
        <f>'GS DATA'!S46</f>
        <v>0</v>
      </c>
      <c r="K46" s="43">
        <f t="shared" si="6"/>
        <v>0</v>
      </c>
    </row>
    <row r="47" spans="1:11" ht="15.6">
      <c r="A47" s="49">
        <f>'GS DATA'!X47</f>
        <v>0</v>
      </c>
      <c r="B47" s="4">
        <f>'GS DATA'!J47</f>
        <v>0</v>
      </c>
      <c r="C47" s="37" t="e">
        <f>VLOOKUP(B47,'GS 점포명'!A:B,2,0)</f>
        <v>#N/A</v>
      </c>
      <c r="D47" s="4">
        <f>'GS DATA'!J47</f>
        <v>0</v>
      </c>
      <c r="E47" s="37" t="e">
        <f>VLOOKUP(D47,'GS 점포명'!A:B,2,0)</f>
        <v>#N/A</v>
      </c>
      <c r="F47" s="38">
        <f>'GS DATA'!M47</f>
        <v>0</v>
      </c>
      <c r="G47" s="39" t="e">
        <f>VLOOKUP($F47,'GS 제품코드'!$A:$C,3,0)</f>
        <v>#N/A</v>
      </c>
      <c r="H47" s="40">
        <f>'GS DATA'!L47</f>
        <v>0</v>
      </c>
      <c r="I47" s="41">
        <f>'GS DATA'!Q47</f>
        <v>0</v>
      </c>
      <c r="J47" s="42">
        <f>'GS DATA'!S47</f>
        <v>0</v>
      </c>
      <c r="K47" s="43">
        <f t="shared" si="6"/>
        <v>0</v>
      </c>
    </row>
    <row r="48" spans="1:11" ht="15.6">
      <c r="A48" s="49">
        <f>'GS DATA'!X48</f>
        <v>0</v>
      </c>
      <c r="B48" s="4">
        <f>'GS DATA'!J48</f>
        <v>0</v>
      </c>
      <c r="C48" s="37" t="e">
        <f>VLOOKUP(B48,'GS 점포명'!A:B,2,0)</f>
        <v>#N/A</v>
      </c>
      <c r="D48" s="4">
        <f>'GS DATA'!J48</f>
        <v>0</v>
      </c>
      <c r="E48" s="37" t="e">
        <f>VLOOKUP(D48,'GS 점포명'!A:B,2,0)</f>
        <v>#N/A</v>
      </c>
      <c r="F48" s="38">
        <f>'GS DATA'!M48</f>
        <v>0</v>
      </c>
      <c r="G48" s="39" t="e">
        <f>VLOOKUP($F48,'GS 제품코드'!$A:$C,3,0)</f>
        <v>#N/A</v>
      </c>
      <c r="H48" s="40">
        <f>'GS DATA'!L48</f>
        <v>0</v>
      </c>
      <c r="I48" s="41">
        <f>'GS DATA'!Q48</f>
        <v>0</v>
      </c>
      <c r="J48" s="42">
        <f>'GS DATA'!S48</f>
        <v>0</v>
      </c>
      <c r="K48" s="43">
        <f t="shared" si="6"/>
        <v>0</v>
      </c>
    </row>
    <row r="49" spans="1:11" ht="15.6">
      <c r="A49" s="49">
        <f>'GS DATA'!X49</f>
        <v>0</v>
      </c>
      <c r="B49" s="4">
        <f>'GS DATA'!J49</f>
        <v>0</v>
      </c>
      <c r="C49" s="37" t="e">
        <f>VLOOKUP(B49,'GS 점포명'!A:B,2,0)</f>
        <v>#N/A</v>
      </c>
      <c r="D49" s="4">
        <f>'GS DATA'!J49</f>
        <v>0</v>
      </c>
      <c r="E49" s="37" t="e">
        <f>VLOOKUP(D49,'GS 점포명'!A:B,2,0)</f>
        <v>#N/A</v>
      </c>
      <c r="F49" s="38">
        <f>'GS DATA'!M49</f>
        <v>0</v>
      </c>
      <c r="G49" s="39" t="e">
        <f>VLOOKUP($F49,'GS 제품코드'!$A:$C,3,0)</f>
        <v>#N/A</v>
      </c>
      <c r="H49" s="40">
        <f>'GS DATA'!L49</f>
        <v>0</v>
      </c>
      <c r="I49" s="41">
        <f>'GS DATA'!Q49</f>
        <v>0</v>
      </c>
      <c r="J49" s="42">
        <f>'GS DATA'!S49</f>
        <v>0</v>
      </c>
      <c r="K49" s="43">
        <f t="shared" si="6"/>
        <v>0</v>
      </c>
    </row>
    <row r="50" spans="1:11" ht="15.6">
      <c r="A50" s="49">
        <f>'GS DATA'!X50</f>
        <v>0</v>
      </c>
      <c r="B50" s="4">
        <f>'GS DATA'!J50</f>
        <v>0</v>
      </c>
      <c r="C50" s="37" t="e">
        <f>VLOOKUP(B50,'GS 점포명'!A:B,2,0)</f>
        <v>#N/A</v>
      </c>
      <c r="D50" s="4">
        <f>'GS DATA'!J50</f>
        <v>0</v>
      </c>
      <c r="E50" s="37" t="e">
        <f>VLOOKUP(D50,'GS 점포명'!A:B,2,0)</f>
        <v>#N/A</v>
      </c>
      <c r="F50" s="38">
        <f>'GS DATA'!M50</f>
        <v>0</v>
      </c>
      <c r="G50" s="39" t="e">
        <f>VLOOKUP($F50,'GS 제품코드'!$A:$C,3,0)</f>
        <v>#N/A</v>
      </c>
      <c r="H50" s="40">
        <f>'GS DATA'!L50</f>
        <v>0</v>
      </c>
      <c r="I50" s="41">
        <f>'GS DATA'!Q50</f>
        <v>0</v>
      </c>
      <c r="J50" s="42">
        <f>'GS DATA'!S50</f>
        <v>0</v>
      </c>
      <c r="K50" s="43">
        <f t="shared" si="6"/>
        <v>0</v>
      </c>
    </row>
    <row r="51" spans="1:11" ht="15.6">
      <c r="A51" s="49">
        <f>'GS DATA'!X51</f>
        <v>0</v>
      </c>
      <c r="B51" s="4">
        <f>'GS DATA'!J51</f>
        <v>0</v>
      </c>
      <c r="C51" s="37" t="e">
        <f>VLOOKUP(B51,'GS 점포명'!A:B,2,0)</f>
        <v>#N/A</v>
      </c>
      <c r="D51" s="4">
        <f>'GS DATA'!J51</f>
        <v>0</v>
      </c>
      <c r="E51" s="37" t="e">
        <f>VLOOKUP(D51,'GS 점포명'!A:B,2,0)</f>
        <v>#N/A</v>
      </c>
      <c r="F51" s="38">
        <f>'GS DATA'!M51</f>
        <v>0</v>
      </c>
      <c r="G51" s="39" t="e">
        <f>VLOOKUP($F51,'GS 제품코드'!$A:$C,3,0)</f>
        <v>#N/A</v>
      </c>
      <c r="H51" s="40">
        <f>'GS DATA'!L51</f>
        <v>0</v>
      </c>
      <c r="I51" s="41">
        <f>'GS DATA'!Q51</f>
        <v>0</v>
      </c>
      <c r="J51" s="42">
        <f>'GS DATA'!S51</f>
        <v>0</v>
      </c>
      <c r="K51" s="43">
        <f t="shared" si="6"/>
        <v>0</v>
      </c>
    </row>
    <row r="52" spans="1:11" ht="15.6">
      <c r="A52" s="49">
        <f>'GS DATA'!X52</f>
        <v>0</v>
      </c>
      <c r="B52" s="4">
        <f>'GS DATA'!J52</f>
        <v>0</v>
      </c>
      <c r="C52" s="37" t="e">
        <f>VLOOKUP(B52,'GS 점포명'!A:B,2,0)</f>
        <v>#N/A</v>
      </c>
      <c r="D52" s="4">
        <f>'GS DATA'!J52</f>
        <v>0</v>
      </c>
      <c r="E52" s="37" t="e">
        <f>VLOOKUP(D52,'GS 점포명'!A:B,2,0)</f>
        <v>#N/A</v>
      </c>
      <c r="F52" s="38">
        <f>'GS DATA'!M52</f>
        <v>0</v>
      </c>
      <c r="G52" s="39" t="e">
        <f>VLOOKUP($F52,'GS 제품코드'!$A:$C,3,0)</f>
        <v>#N/A</v>
      </c>
      <c r="H52" s="40">
        <f>'GS DATA'!L52</f>
        <v>0</v>
      </c>
      <c r="I52" s="41">
        <f>'GS DATA'!Q52</f>
        <v>0</v>
      </c>
      <c r="J52" s="42">
        <f>'GS DATA'!S52</f>
        <v>0</v>
      </c>
      <c r="K52" s="43">
        <f t="shared" si="6"/>
        <v>0</v>
      </c>
    </row>
    <row r="53" spans="1:11" ht="15.6">
      <c r="A53" s="49">
        <f>'GS DATA'!X53</f>
        <v>0</v>
      </c>
      <c r="B53" s="4">
        <f>'GS DATA'!J53</f>
        <v>0</v>
      </c>
      <c r="C53" s="37" t="e">
        <f>VLOOKUP(B53,'GS 점포명'!A:B,2,0)</f>
        <v>#N/A</v>
      </c>
      <c r="D53" s="4">
        <f>'GS DATA'!J53</f>
        <v>0</v>
      </c>
      <c r="E53" s="37" t="e">
        <f>VLOOKUP(D53,'GS 점포명'!A:B,2,0)</f>
        <v>#N/A</v>
      </c>
      <c r="F53" s="38">
        <f>'GS DATA'!M53</f>
        <v>0</v>
      </c>
      <c r="G53" s="39" t="e">
        <f>VLOOKUP($F53,'GS 제품코드'!$A:$C,3,0)</f>
        <v>#N/A</v>
      </c>
      <c r="H53" s="40">
        <f>'GS DATA'!L53</f>
        <v>0</v>
      </c>
      <c r="I53" s="41">
        <f>'GS DATA'!Q53</f>
        <v>0</v>
      </c>
      <c r="J53" s="42">
        <f>'GS DATA'!S53</f>
        <v>0</v>
      </c>
      <c r="K53" s="43">
        <f t="shared" si="6"/>
        <v>0</v>
      </c>
    </row>
    <row r="54" spans="1:11" ht="15.6">
      <c r="A54" s="49">
        <f>'GS DATA'!X54</f>
        <v>0</v>
      </c>
      <c r="B54" s="4">
        <f>'GS DATA'!J54</f>
        <v>0</v>
      </c>
      <c r="C54" s="37" t="e">
        <f>VLOOKUP(B54,'GS 점포명'!A:B,2,0)</f>
        <v>#N/A</v>
      </c>
      <c r="D54" s="4">
        <f>'GS DATA'!J54</f>
        <v>0</v>
      </c>
      <c r="E54" s="37" t="e">
        <f>VLOOKUP(D54,'GS 점포명'!A:B,2,0)</f>
        <v>#N/A</v>
      </c>
      <c r="F54" s="38">
        <f>'GS DATA'!M54</f>
        <v>0</v>
      </c>
      <c r="G54" s="39" t="e">
        <f>VLOOKUP($F54,'GS 제품코드'!$A:$C,3,0)</f>
        <v>#N/A</v>
      </c>
      <c r="H54" s="40">
        <f>'GS DATA'!L54</f>
        <v>0</v>
      </c>
      <c r="I54" s="41">
        <f>'GS DATA'!Q54</f>
        <v>0</v>
      </c>
      <c r="J54" s="42">
        <f>'GS DATA'!S54</f>
        <v>0</v>
      </c>
      <c r="K54" s="43">
        <f t="shared" si="6"/>
        <v>0</v>
      </c>
    </row>
    <row r="55" spans="1:11" ht="15.6">
      <c r="A55" s="49">
        <f>'GS DATA'!X55</f>
        <v>0</v>
      </c>
      <c r="B55" s="4">
        <f>'GS DATA'!J55</f>
        <v>0</v>
      </c>
      <c r="C55" s="37" t="e">
        <f>VLOOKUP(B55,'GS 점포명'!A:B,2,0)</f>
        <v>#N/A</v>
      </c>
      <c r="D55" s="4">
        <f>'GS DATA'!J55</f>
        <v>0</v>
      </c>
      <c r="E55" s="37" t="e">
        <f>VLOOKUP(D55,'GS 점포명'!A:B,2,0)</f>
        <v>#N/A</v>
      </c>
      <c r="F55" s="38">
        <f>'GS DATA'!M55</f>
        <v>0</v>
      </c>
      <c r="G55" s="39" t="e">
        <f>VLOOKUP($F55,'GS 제품코드'!$A:$C,3,0)</f>
        <v>#N/A</v>
      </c>
      <c r="H55" s="40">
        <f>'GS DATA'!L55</f>
        <v>0</v>
      </c>
      <c r="I55" s="41">
        <f>'GS DATA'!Q55</f>
        <v>0</v>
      </c>
      <c r="J55" s="42">
        <f>'GS DATA'!S55</f>
        <v>0</v>
      </c>
      <c r="K55" s="43">
        <f t="shared" si="6"/>
        <v>0</v>
      </c>
    </row>
    <row r="56" spans="1:11" ht="15.6">
      <c r="A56" s="49">
        <f>'GS DATA'!X56</f>
        <v>0</v>
      </c>
      <c r="B56" s="4">
        <f>'GS DATA'!J56</f>
        <v>0</v>
      </c>
      <c r="C56" s="37" t="e">
        <f>VLOOKUP(B56,'GS 점포명'!A:B,2,0)</f>
        <v>#N/A</v>
      </c>
      <c r="D56" s="4">
        <f>'GS DATA'!J56</f>
        <v>0</v>
      </c>
      <c r="E56" s="37" t="e">
        <f>VLOOKUP(D56,'GS 점포명'!A:B,2,0)</f>
        <v>#N/A</v>
      </c>
      <c r="F56" s="38">
        <f>'GS DATA'!M56</f>
        <v>0</v>
      </c>
      <c r="G56" s="39" t="e">
        <f>VLOOKUP($F56,'GS 제품코드'!$A:$C,3,0)</f>
        <v>#N/A</v>
      </c>
      <c r="H56" s="40">
        <f>'GS DATA'!L56</f>
        <v>0</v>
      </c>
      <c r="I56" s="41">
        <f>'GS DATA'!Q56</f>
        <v>0</v>
      </c>
      <c r="J56" s="42">
        <f>'GS DATA'!S56</f>
        <v>0</v>
      </c>
      <c r="K56" s="43">
        <f t="shared" si="6"/>
        <v>0</v>
      </c>
    </row>
    <row r="57" spans="1:11" ht="15.6">
      <c r="A57" s="49">
        <f>'GS DATA'!X57</f>
        <v>0</v>
      </c>
      <c r="B57" s="4">
        <f>'GS DATA'!J57</f>
        <v>0</v>
      </c>
      <c r="C57" s="37" t="e">
        <f>VLOOKUP(B57,'GS 점포명'!A:B,2,0)</f>
        <v>#N/A</v>
      </c>
      <c r="D57" s="4">
        <f>'GS DATA'!J57</f>
        <v>0</v>
      </c>
      <c r="E57" s="37" t="e">
        <f>VLOOKUP(D57,'GS 점포명'!A:B,2,0)</f>
        <v>#N/A</v>
      </c>
      <c r="F57" s="38">
        <f>'GS DATA'!M57</f>
        <v>0</v>
      </c>
      <c r="G57" s="39" t="e">
        <f>VLOOKUP($F57,'GS 제품코드'!$A:$C,3,0)</f>
        <v>#N/A</v>
      </c>
      <c r="H57" s="40">
        <f>'GS DATA'!L57</f>
        <v>0</v>
      </c>
      <c r="I57" s="41">
        <f>'GS DATA'!Q57</f>
        <v>0</v>
      </c>
      <c r="J57" s="42">
        <f>'GS DATA'!S57</f>
        <v>0</v>
      </c>
      <c r="K57" s="43">
        <f t="shared" si="6"/>
        <v>0</v>
      </c>
    </row>
    <row r="58" spans="1:11" ht="15.6">
      <c r="A58" s="49">
        <f>'GS DATA'!X58</f>
        <v>0</v>
      </c>
      <c r="B58" s="4">
        <f>'GS DATA'!J58</f>
        <v>0</v>
      </c>
      <c r="C58" s="37" t="e">
        <f>VLOOKUP(B58,'GS 점포명'!A:B,2,0)</f>
        <v>#N/A</v>
      </c>
      <c r="D58" s="4">
        <f>'GS DATA'!J58</f>
        <v>0</v>
      </c>
      <c r="E58" s="37" t="e">
        <f>VLOOKUP(D58,'GS 점포명'!A:B,2,0)</f>
        <v>#N/A</v>
      </c>
      <c r="F58" s="38">
        <f>'GS DATA'!M58</f>
        <v>0</v>
      </c>
      <c r="G58" s="39" t="e">
        <f>VLOOKUP($F58,'GS 제품코드'!$A:$C,3,0)</f>
        <v>#N/A</v>
      </c>
      <c r="H58" s="40">
        <f>'GS DATA'!L58</f>
        <v>0</v>
      </c>
      <c r="I58" s="41">
        <f>'GS DATA'!Q58</f>
        <v>0</v>
      </c>
      <c r="J58" s="42">
        <f>'GS DATA'!S58</f>
        <v>0</v>
      </c>
      <c r="K58" s="43">
        <f t="shared" si="6"/>
        <v>0</v>
      </c>
    </row>
    <row r="59" spans="1:11" ht="15.6">
      <c r="A59" s="49">
        <f>'GS DATA'!X59</f>
        <v>0</v>
      </c>
      <c r="B59" s="4">
        <f>'GS DATA'!J59</f>
        <v>0</v>
      </c>
      <c r="C59" s="37" t="e">
        <f>VLOOKUP(B59,'GS 점포명'!A:B,2,0)</f>
        <v>#N/A</v>
      </c>
      <c r="D59" s="4">
        <f>'GS DATA'!J59</f>
        <v>0</v>
      </c>
      <c r="E59" s="37" t="e">
        <f>VLOOKUP(D59,'GS 점포명'!A:B,2,0)</f>
        <v>#N/A</v>
      </c>
      <c r="F59" s="38">
        <f>'GS DATA'!M59</f>
        <v>0</v>
      </c>
      <c r="G59" s="39" t="e">
        <f>VLOOKUP($F59,'GS 제품코드'!$A:$C,3,0)</f>
        <v>#N/A</v>
      </c>
      <c r="H59" s="40">
        <f>'GS DATA'!L59</f>
        <v>0</v>
      </c>
      <c r="I59" s="41">
        <f>'GS DATA'!Q59</f>
        <v>0</v>
      </c>
      <c r="J59" s="42">
        <f>'GS DATA'!S59</f>
        <v>0</v>
      </c>
      <c r="K59" s="43">
        <f t="shared" si="6"/>
        <v>0</v>
      </c>
    </row>
    <row r="60" spans="1:11" ht="15.6">
      <c r="A60" s="49">
        <f>'GS DATA'!X60</f>
        <v>0</v>
      </c>
      <c r="B60" s="4">
        <f>'GS DATA'!J60</f>
        <v>0</v>
      </c>
      <c r="C60" s="37" t="e">
        <f>VLOOKUP(B60,'GS 점포명'!A:B,2,0)</f>
        <v>#N/A</v>
      </c>
      <c r="D60" s="4">
        <f>'GS DATA'!J60</f>
        <v>0</v>
      </c>
      <c r="E60" s="37" t="e">
        <f>VLOOKUP(D60,'GS 점포명'!A:B,2,0)</f>
        <v>#N/A</v>
      </c>
      <c r="F60" s="38">
        <f>'GS DATA'!M60</f>
        <v>0</v>
      </c>
      <c r="G60" s="39" t="e">
        <f>VLOOKUP($F60,'GS 제품코드'!$A:$C,3,0)</f>
        <v>#N/A</v>
      </c>
      <c r="H60" s="40">
        <f>'GS DATA'!L60</f>
        <v>0</v>
      </c>
      <c r="I60" s="41">
        <f>'GS DATA'!Q60</f>
        <v>0</v>
      </c>
      <c r="J60" s="42">
        <f>'GS DATA'!S60</f>
        <v>0</v>
      </c>
      <c r="K60" s="43">
        <f t="shared" si="6"/>
        <v>0</v>
      </c>
    </row>
    <row r="61" spans="1:11" ht="15.6">
      <c r="A61" s="49">
        <f>'GS DATA'!X61</f>
        <v>0</v>
      </c>
      <c r="B61" s="4">
        <f>'GS DATA'!J61</f>
        <v>0</v>
      </c>
      <c r="C61" s="37" t="e">
        <f>VLOOKUP(B61,'GS 점포명'!A:B,2,0)</f>
        <v>#N/A</v>
      </c>
      <c r="D61" s="4">
        <f>'GS DATA'!J61</f>
        <v>0</v>
      </c>
      <c r="E61" s="37" t="e">
        <f>VLOOKUP(D61,'GS 점포명'!A:B,2,0)</f>
        <v>#N/A</v>
      </c>
      <c r="F61" s="38">
        <f>'GS DATA'!M61</f>
        <v>0</v>
      </c>
      <c r="G61" s="39" t="e">
        <f>VLOOKUP($F61,'GS 제품코드'!$A:$C,3,0)</f>
        <v>#N/A</v>
      </c>
      <c r="H61" s="40">
        <f>'GS DATA'!L61</f>
        <v>0</v>
      </c>
      <c r="I61" s="41">
        <f>'GS DATA'!Q61</f>
        <v>0</v>
      </c>
      <c r="J61" s="42">
        <f>'GS DATA'!S61</f>
        <v>0</v>
      </c>
      <c r="K61" s="43">
        <f t="shared" si="6"/>
        <v>0</v>
      </c>
    </row>
    <row r="62" spans="1:11" ht="15.6">
      <c r="A62" s="49">
        <f>'GS DATA'!X62</f>
        <v>0</v>
      </c>
      <c r="B62" s="4">
        <f>'GS DATA'!J62</f>
        <v>0</v>
      </c>
      <c r="C62" s="37" t="e">
        <f>VLOOKUP(B62,'GS 점포명'!A:B,2,0)</f>
        <v>#N/A</v>
      </c>
      <c r="D62" s="4">
        <f>'GS DATA'!J62</f>
        <v>0</v>
      </c>
      <c r="E62" s="37" t="e">
        <f>VLOOKUP(D62,'GS 점포명'!A:B,2,0)</f>
        <v>#N/A</v>
      </c>
      <c r="F62" s="38">
        <f>'GS DATA'!M62</f>
        <v>0</v>
      </c>
      <c r="G62" s="39" t="e">
        <f>VLOOKUP($F62,'GS 제품코드'!$A:$C,3,0)</f>
        <v>#N/A</v>
      </c>
      <c r="H62" s="40">
        <f>'GS DATA'!L62</f>
        <v>0</v>
      </c>
      <c r="I62" s="41">
        <f>'GS DATA'!Q62</f>
        <v>0</v>
      </c>
      <c r="J62" s="42">
        <f>'GS DATA'!S62</f>
        <v>0</v>
      </c>
      <c r="K62" s="43">
        <f t="shared" si="6"/>
        <v>0</v>
      </c>
    </row>
    <row r="63" spans="1:11" ht="15.6">
      <c r="A63" s="49">
        <f>'GS DATA'!X63</f>
        <v>0</v>
      </c>
      <c r="B63" s="4">
        <f>'GS DATA'!J63</f>
        <v>0</v>
      </c>
      <c r="C63" s="37" t="e">
        <f>VLOOKUP(B63,'GS 점포명'!A:B,2,0)</f>
        <v>#N/A</v>
      </c>
      <c r="D63" s="4">
        <f>'GS DATA'!J63</f>
        <v>0</v>
      </c>
      <c r="E63" s="37" t="e">
        <f>VLOOKUP(D63,'GS 점포명'!A:B,2,0)</f>
        <v>#N/A</v>
      </c>
      <c r="F63" s="38">
        <f>'GS DATA'!M63</f>
        <v>0</v>
      </c>
      <c r="G63" s="39" t="e">
        <f>VLOOKUP($F63,'GS 제품코드'!$A:$C,3,0)</f>
        <v>#N/A</v>
      </c>
      <c r="H63" s="40">
        <f>'GS DATA'!L63</f>
        <v>0</v>
      </c>
      <c r="I63" s="41">
        <f>'GS DATA'!Q63</f>
        <v>0</v>
      </c>
      <c r="J63" s="42">
        <f>'GS DATA'!S63</f>
        <v>0</v>
      </c>
      <c r="K63" s="43">
        <f t="shared" si="6"/>
        <v>0</v>
      </c>
    </row>
    <row r="64" spans="1:11" ht="15.6">
      <c r="A64" s="49">
        <f>'GS DATA'!X64</f>
        <v>0</v>
      </c>
      <c r="B64" s="4">
        <f>'GS DATA'!J64</f>
        <v>0</v>
      </c>
      <c r="C64" s="37" t="e">
        <f>VLOOKUP(B64,'GS 점포명'!A:B,2,0)</f>
        <v>#N/A</v>
      </c>
      <c r="D64" s="4">
        <f>'GS DATA'!J64</f>
        <v>0</v>
      </c>
      <c r="E64" s="37" t="e">
        <f>VLOOKUP(D64,'GS 점포명'!A:B,2,0)</f>
        <v>#N/A</v>
      </c>
      <c r="F64" s="38">
        <f>'GS DATA'!M64</f>
        <v>0</v>
      </c>
      <c r="G64" s="39" t="e">
        <f>VLOOKUP($F64,'GS 제품코드'!$A:$C,3,0)</f>
        <v>#N/A</v>
      </c>
      <c r="H64" s="40">
        <f>'GS DATA'!L64</f>
        <v>0</v>
      </c>
      <c r="I64" s="41">
        <f>'GS DATA'!Q64</f>
        <v>0</v>
      </c>
      <c r="J64" s="42">
        <f>'GS DATA'!S64</f>
        <v>0</v>
      </c>
      <c r="K64" s="43">
        <f t="shared" si="6"/>
        <v>0</v>
      </c>
    </row>
    <row r="65" spans="1:11" ht="15.6">
      <c r="A65" s="49">
        <f>'GS DATA'!X65</f>
        <v>0</v>
      </c>
      <c r="B65" s="4">
        <f>'GS DATA'!J65</f>
        <v>0</v>
      </c>
      <c r="C65" s="37" t="e">
        <f>VLOOKUP(B65,'GS 점포명'!A:B,2,0)</f>
        <v>#N/A</v>
      </c>
      <c r="D65" s="4">
        <f>'GS DATA'!J65</f>
        <v>0</v>
      </c>
      <c r="E65" s="37" t="e">
        <f>VLOOKUP(D65,'GS 점포명'!A:B,2,0)</f>
        <v>#N/A</v>
      </c>
      <c r="F65" s="38">
        <f>'GS DATA'!M65</f>
        <v>0</v>
      </c>
      <c r="G65" s="39" t="e">
        <f>VLOOKUP($F65,'GS 제품코드'!$A:$C,3,0)</f>
        <v>#N/A</v>
      </c>
      <c r="H65" s="40">
        <f>'GS DATA'!L65</f>
        <v>0</v>
      </c>
      <c r="I65" s="41">
        <f>'GS DATA'!Q65</f>
        <v>0</v>
      </c>
      <c r="J65" s="42">
        <f>'GS DATA'!S65</f>
        <v>0</v>
      </c>
      <c r="K65" s="43">
        <f t="shared" si="6"/>
        <v>0</v>
      </c>
    </row>
    <row r="66" spans="1:11" ht="15.6">
      <c r="A66" s="49">
        <f>'GS DATA'!X66</f>
        <v>0</v>
      </c>
      <c r="B66" s="4">
        <f>'GS DATA'!J66</f>
        <v>0</v>
      </c>
      <c r="C66" s="37" t="e">
        <f>VLOOKUP(B66,'GS 점포명'!A:B,2,0)</f>
        <v>#N/A</v>
      </c>
      <c r="D66" s="4">
        <f>'GS DATA'!J66</f>
        <v>0</v>
      </c>
      <c r="E66" s="37" t="e">
        <f>VLOOKUP(D66,'GS 점포명'!A:B,2,0)</f>
        <v>#N/A</v>
      </c>
      <c r="F66" s="38">
        <f>'GS DATA'!M66</f>
        <v>0</v>
      </c>
      <c r="G66" s="39" t="e">
        <f>VLOOKUP($F66,'GS 제품코드'!$A:$C,3,0)</f>
        <v>#N/A</v>
      </c>
      <c r="H66" s="40">
        <f>'GS DATA'!L66</f>
        <v>0</v>
      </c>
      <c r="I66" s="41">
        <f>'GS DATA'!Q66</f>
        <v>0</v>
      </c>
      <c r="J66" s="42">
        <f>'GS DATA'!S66</f>
        <v>0</v>
      </c>
      <c r="K66" s="43">
        <f t="shared" si="6"/>
        <v>0</v>
      </c>
    </row>
    <row r="67" spans="1:11" ht="15.6">
      <c r="A67" s="49">
        <f>'GS DATA'!X67</f>
        <v>0</v>
      </c>
      <c r="B67" s="4">
        <f>'GS DATA'!J67</f>
        <v>0</v>
      </c>
      <c r="C67" s="37" t="e">
        <f>VLOOKUP(B67,'GS 점포명'!A:B,2,0)</f>
        <v>#N/A</v>
      </c>
      <c r="D67" s="4">
        <f>'GS DATA'!J67</f>
        <v>0</v>
      </c>
      <c r="E67" s="37" t="e">
        <f>VLOOKUP(D67,'GS 점포명'!A:B,2,0)</f>
        <v>#N/A</v>
      </c>
      <c r="F67" s="38">
        <f>'GS DATA'!M67</f>
        <v>0</v>
      </c>
      <c r="G67" s="39" t="e">
        <f>VLOOKUP($F67,'GS 제품코드'!$A:$C,3,0)</f>
        <v>#N/A</v>
      </c>
      <c r="H67" s="40">
        <f>'GS DATA'!L67</f>
        <v>0</v>
      </c>
      <c r="I67" s="41">
        <f>'GS DATA'!Q67</f>
        <v>0</v>
      </c>
      <c r="J67" s="42">
        <f>'GS DATA'!S67</f>
        <v>0</v>
      </c>
      <c r="K67" s="43">
        <f t="shared" si="6"/>
        <v>0</v>
      </c>
    </row>
    <row r="68" spans="1:11" ht="15.6">
      <c r="A68" s="49">
        <f>'GS DATA'!X68</f>
        <v>0</v>
      </c>
      <c r="B68" s="4">
        <f>'GS DATA'!J68</f>
        <v>0</v>
      </c>
      <c r="C68" s="37" t="e">
        <f>VLOOKUP(B68,'GS 점포명'!A:B,2,0)</f>
        <v>#N/A</v>
      </c>
      <c r="D68" s="4">
        <f>'GS DATA'!J68</f>
        <v>0</v>
      </c>
      <c r="E68" s="37" t="e">
        <f>VLOOKUP(D68,'GS 점포명'!A:B,2,0)</f>
        <v>#N/A</v>
      </c>
      <c r="F68" s="38">
        <f>'GS DATA'!M68</f>
        <v>0</v>
      </c>
      <c r="G68" s="39" t="e">
        <f>VLOOKUP($F68,'GS 제품코드'!$A:$C,3,0)</f>
        <v>#N/A</v>
      </c>
      <c r="H68" s="40">
        <f>'GS DATA'!L68</f>
        <v>0</v>
      </c>
      <c r="I68" s="41">
        <f>'GS DATA'!Q68</f>
        <v>0</v>
      </c>
      <c r="J68" s="42">
        <f>'GS DATA'!S68</f>
        <v>0</v>
      </c>
      <c r="K68" s="43">
        <f t="shared" si="6"/>
        <v>0</v>
      </c>
    </row>
    <row r="69" spans="1:11" ht="15.6">
      <c r="A69" s="49">
        <f>'GS DATA'!X69</f>
        <v>0</v>
      </c>
      <c r="B69" s="4">
        <f>'GS DATA'!J69</f>
        <v>0</v>
      </c>
      <c r="C69" s="37" t="e">
        <f>VLOOKUP(B69,'GS 점포명'!A:B,2,0)</f>
        <v>#N/A</v>
      </c>
      <c r="D69" s="4">
        <f>'GS DATA'!J69</f>
        <v>0</v>
      </c>
      <c r="E69" s="37" t="e">
        <f>VLOOKUP(D69,'GS 점포명'!A:B,2,0)</f>
        <v>#N/A</v>
      </c>
      <c r="F69" s="38">
        <f>'GS DATA'!M69</f>
        <v>0</v>
      </c>
      <c r="G69" s="39" t="e">
        <f>VLOOKUP($F69,'GS 제품코드'!$A:$C,3,0)</f>
        <v>#N/A</v>
      </c>
      <c r="H69" s="40">
        <f>'GS DATA'!L69</f>
        <v>0</v>
      </c>
      <c r="I69" s="41">
        <f>'GS DATA'!Q69</f>
        <v>0</v>
      </c>
      <c r="J69" s="42">
        <f>'GS DATA'!S69</f>
        <v>0</v>
      </c>
      <c r="K69" s="43">
        <f t="shared" si="6"/>
        <v>0</v>
      </c>
    </row>
    <row r="70" spans="1:11" ht="15.6">
      <c r="A70" s="49">
        <f>'GS DATA'!X70</f>
        <v>0</v>
      </c>
      <c r="B70" s="4">
        <f>'GS DATA'!J70</f>
        <v>0</v>
      </c>
      <c r="C70" s="37" t="e">
        <f>VLOOKUP(B70,'GS 점포명'!A:B,2,0)</f>
        <v>#N/A</v>
      </c>
      <c r="D70" s="4">
        <f>'GS DATA'!J70</f>
        <v>0</v>
      </c>
      <c r="E70" s="37" t="e">
        <f>VLOOKUP(D70,'GS 점포명'!A:B,2,0)</f>
        <v>#N/A</v>
      </c>
      <c r="F70" s="38">
        <f>'GS DATA'!M70</f>
        <v>0</v>
      </c>
      <c r="G70" s="39" t="e">
        <f>VLOOKUP($F70,'GS 제품코드'!$A:$C,3,0)</f>
        <v>#N/A</v>
      </c>
      <c r="H70" s="40">
        <f>'GS DATA'!L70</f>
        <v>0</v>
      </c>
      <c r="I70" s="41">
        <f>'GS DATA'!Q70</f>
        <v>0</v>
      </c>
      <c r="J70" s="42">
        <f>'GS DATA'!S70</f>
        <v>0</v>
      </c>
      <c r="K70" s="43">
        <f t="shared" si="6"/>
        <v>0</v>
      </c>
    </row>
    <row r="71" spans="1:11" ht="15.6">
      <c r="A71" s="49">
        <f>'GS DATA'!X71</f>
        <v>0</v>
      </c>
      <c r="B71" s="4">
        <f>'GS DATA'!J71</f>
        <v>0</v>
      </c>
      <c r="C71" s="37" t="e">
        <f>VLOOKUP(B71,'GS 점포명'!A:B,2,0)</f>
        <v>#N/A</v>
      </c>
      <c r="D71" s="4">
        <f>'GS DATA'!J71</f>
        <v>0</v>
      </c>
      <c r="E71" s="37" t="e">
        <f>VLOOKUP(D71,'GS 점포명'!A:B,2,0)</f>
        <v>#N/A</v>
      </c>
      <c r="F71" s="38">
        <f>'GS DATA'!M71</f>
        <v>0</v>
      </c>
      <c r="G71" s="39" t="e">
        <f>VLOOKUP($F71,'GS 제품코드'!$A:$C,3,0)</f>
        <v>#N/A</v>
      </c>
      <c r="H71" s="40">
        <f>'GS DATA'!L71</f>
        <v>0</v>
      </c>
      <c r="I71" s="41">
        <f>'GS DATA'!Q71</f>
        <v>0</v>
      </c>
      <c r="J71" s="42">
        <f>'GS DATA'!S71</f>
        <v>0</v>
      </c>
      <c r="K71" s="43">
        <f t="shared" si="6"/>
        <v>0</v>
      </c>
    </row>
    <row r="72" spans="1:11" ht="15.6">
      <c r="A72" s="49">
        <f>'GS DATA'!X72</f>
        <v>0</v>
      </c>
      <c r="B72" s="4">
        <f>'GS DATA'!J72</f>
        <v>0</v>
      </c>
      <c r="C72" s="37" t="e">
        <f>VLOOKUP(B72,'GS 점포명'!A:B,2,0)</f>
        <v>#N/A</v>
      </c>
      <c r="D72" s="4">
        <f>'GS DATA'!J72</f>
        <v>0</v>
      </c>
      <c r="E72" s="37" t="e">
        <f>VLOOKUP(D72,'GS 점포명'!A:B,2,0)</f>
        <v>#N/A</v>
      </c>
      <c r="F72" s="38">
        <f>'GS DATA'!M72</f>
        <v>0</v>
      </c>
      <c r="G72" s="39" t="e">
        <f>VLOOKUP($F72,'GS 제품코드'!$A:$C,3,0)</f>
        <v>#N/A</v>
      </c>
      <c r="H72" s="40">
        <f>'GS DATA'!L72</f>
        <v>0</v>
      </c>
      <c r="I72" s="41">
        <f>'GS DATA'!Q72</f>
        <v>0</v>
      </c>
      <c r="J72" s="42">
        <f>'GS DATA'!S72</f>
        <v>0</v>
      </c>
      <c r="K72" s="43">
        <f t="shared" si="6"/>
        <v>0</v>
      </c>
    </row>
    <row r="73" spans="1:11" ht="15.6">
      <c r="A73" s="49">
        <f>'GS DATA'!X73</f>
        <v>0</v>
      </c>
      <c r="B73" s="4">
        <f>'GS DATA'!J73</f>
        <v>0</v>
      </c>
      <c r="C73" s="37" t="e">
        <f>VLOOKUP(B73,'GS 점포명'!A:B,2,0)</f>
        <v>#N/A</v>
      </c>
      <c r="D73" s="4">
        <f>'GS DATA'!J73</f>
        <v>0</v>
      </c>
      <c r="E73" s="37" t="e">
        <f>VLOOKUP(D73,'GS 점포명'!A:B,2,0)</f>
        <v>#N/A</v>
      </c>
      <c r="F73" s="38">
        <f>'GS DATA'!M73</f>
        <v>0</v>
      </c>
      <c r="G73" s="39" t="e">
        <f>VLOOKUP($F73,'GS 제품코드'!$A:$C,3,0)</f>
        <v>#N/A</v>
      </c>
      <c r="H73" s="40">
        <f>'GS DATA'!L73</f>
        <v>0</v>
      </c>
      <c r="I73" s="41">
        <f>'GS DATA'!Q73</f>
        <v>0</v>
      </c>
      <c r="J73" s="42">
        <f>'GS DATA'!S73</f>
        <v>0</v>
      </c>
      <c r="K73" s="43">
        <f t="shared" si="6"/>
        <v>0</v>
      </c>
    </row>
    <row r="74" spans="1:11" ht="15.6">
      <c r="A74" s="49">
        <f>'GS DATA'!X74</f>
        <v>0</v>
      </c>
      <c r="B74" s="4">
        <f>'GS DATA'!J74</f>
        <v>0</v>
      </c>
      <c r="C74" s="37" t="e">
        <f>VLOOKUP(B74,'GS 점포명'!A:B,2,0)</f>
        <v>#N/A</v>
      </c>
      <c r="D74" s="4">
        <f>'GS DATA'!J74</f>
        <v>0</v>
      </c>
      <c r="E74" s="37" t="e">
        <f>VLOOKUP(D74,'GS 점포명'!A:B,2,0)</f>
        <v>#N/A</v>
      </c>
      <c r="F74" s="38">
        <f>'GS DATA'!M74</f>
        <v>0</v>
      </c>
      <c r="G74" s="39" t="e">
        <f>VLOOKUP($F74,'GS 제품코드'!$A:$C,3,0)</f>
        <v>#N/A</v>
      </c>
      <c r="H74" s="40">
        <f>'GS DATA'!L74</f>
        <v>0</v>
      </c>
      <c r="I74" s="41">
        <f>'GS DATA'!Q74</f>
        <v>0</v>
      </c>
      <c r="J74" s="42">
        <f>'GS DATA'!S74</f>
        <v>0</v>
      </c>
      <c r="K74" s="43">
        <f t="shared" si="6"/>
        <v>0</v>
      </c>
    </row>
    <row r="75" spans="1:11" ht="15.6">
      <c r="A75" s="49">
        <f>'GS DATA'!X75</f>
        <v>0</v>
      </c>
      <c r="B75" s="4">
        <f>'GS DATA'!J75</f>
        <v>0</v>
      </c>
      <c r="C75" s="37" t="e">
        <f>VLOOKUP(B75,'GS 점포명'!A:B,2,0)</f>
        <v>#N/A</v>
      </c>
      <c r="D75" s="4">
        <f>'GS DATA'!J75</f>
        <v>0</v>
      </c>
      <c r="E75" s="37" t="e">
        <f>VLOOKUP(D75,'GS 점포명'!A:B,2,0)</f>
        <v>#N/A</v>
      </c>
      <c r="F75" s="38">
        <f>'GS DATA'!M75</f>
        <v>0</v>
      </c>
      <c r="G75" s="39" t="e">
        <f>VLOOKUP($F75,'GS 제품코드'!$A:$C,3,0)</f>
        <v>#N/A</v>
      </c>
      <c r="H75" s="40">
        <f>'GS DATA'!L75</f>
        <v>0</v>
      </c>
      <c r="I75" s="41">
        <f>'GS DATA'!Q75</f>
        <v>0</v>
      </c>
      <c r="J75" s="42">
        <f>'GS DATA'!S75</f>
        <v>0</v>
      </c>
      <c r="K75" s="43">
        <f t="shared" si="6"/>
        <v>0</v>
      </c>
    </row>
    <row r="76" spans="1:11" ht="15.6">
      <c r="A76" s="49">
        <f>'GS DATA'!X76</f>
        <v>0</v>
      </c>
      <c r="B76" s="4">
        <f>'GS DATA'!J76</f>
        <v>0</v>
      </c>
      <c r="C76" s="37" t="e">
        <f>VLOOKUP(B76,'GS 점포명'!A:B,2,0)</f>
        <v>#N/A</v>
      </c>
      <c r="D76" s="4">
        <f>'GS DATA'!J76</f>
        <v>0</v>
      </c>
      <c r="E76" s="37" t="e">
        <f>VLOOKUP(D76,'GS 점포명'!A:B,2,0)</f>
        <v>#N/A</v>
      </c>
      <c r="F76" s="38">
        <f>'GS DATA'!M76</f>
        <v>0</v>
      </c>
      <c r="G76" s="39" t="e">
        <f>VLOOKUP($F76,'GS 제품코드'!$A:$C,3,0)</f>
        <v>#N/A</v>
      </c>
      <c r="H76" s="40">
        <f>'GS DATA'!L76</f>
        <v>0</v>
      </c>
      <c r="I76" s="41">
        <f>'GS DATA'!Q76</f>
        <v>0</v>
      </c>
      <c r="J76" s="42">
        <f>'GS DATA'!S76</f>
        <v>0</v>
      </c>
      <c r="K76" s="43">
        <f t="shared" si="6"/>
        <v>0</v>
      </c>
    </row>
    <row r="77" spans="1:11" ht="15.6">
      <c r="A77" s="49">
        <f>'GS DATA'!X77</f>
        <v>0</v>
      </c>
      <c r="B77" s="4">
        <f>'GS DATA'!J77</f>
        <v>0</v>
      </c>
      <c r="C77" s="37" t="e">
        <f>VLOOKUP(B77,'GS 점포명'!A:B,2,0)</f>
        <v>#N/A</v>
      </c>
      <c r="D77" s="4">
        <f>'GS DATA'!J77</f>
        <v>0</v>
      </c>
      <c r="E77" s="37" t="e">
        <f>VLOOKUP(D77,'GS 점포명'!A:B,2,0)</f>
        <v>#N/A</v>
      </c>
      <c r="F77" s="38">
        <f>'GS DATA'!M77</f>
        <v>0</v>
      </c>
      <c r="G77" s="39" t="e">
        <f>VLOOKUP($F77,'GS 제품코드'!$A:$C,3,0)</f>
        <v>#N/A</v>
      </c>
      <c r="H77" s="40">
        <f>'GS DATA'!L77</f>
        <v>0</v>
      </c>
      <c r="I77" s="41">
        <f>'GS DATA'!Q77</f>
        <v>0</v>
      </c>
      <c r="J77" s="42">
        <f>'GS DATA'!S77</f>
        <v>0</v>
      </c>
      <c r="K77" s="43">
        <f t="shared" si="6"/>
        <v>0</v>
      </c>
    </row>
    <row r="78" spans="1:11" ht="15.6">
      <c r="A78" s="49">
        <f>'GS DATA'!X78</f>
        <v>0</v>
      </c>
      <c r="B78" s="4">
        <f>'GS DATA'!J78</f>
        <v>0</v>
      </c>
      <c r="C78" s="37" t="e">
        <f>VLOOKUP(B78,'GS 점포명'!A:B,2,0)</f>
        <v>#N/A</v>
      </c>
      <c r="D78" s="4">
        <f>'GS DATA'!J78</f>
        <v>0</v>
      </c>
      <c r="E78" s="37" t="e">
        <f>VLOOKUP(D78,'GS 점포명'!A:B,2,0)</f>
        <v>#N/A</v>
      </c>
      <c r="F78" s="38">
        <f>'GS DATA'!M78</f>
        <v>0</v>
      </c>
      <c r="G78" s="39" t="e">
        <f>VLOOKUP($F78,'GS 제품코드'!$A:$C,3,0)</f>
        <v>#N/A</v>
      </c>
      <c r="H78" s="40">
        <f>'GS DATA'!L78</f>
        <v>0</v>
      </c>
      <c r="I78" s="41">
        <f>'GS DATA'!Q78</f>
        <v>0</v>
      </c>
      <c r="J78" s="42">
        <f>'GS DATA'!S78</f>
        <v>0</v>
      </c>
      <c r="K78" s="43">
        <f t="shared" si="6"/>
        <v>0</v>
      </c>
    </row>
    <row r="79" spans="1:11" ht="15.6">
      <c r="A79" s="49">
        <f>'GS DATA'!X79</f>
        <v>0</v>
      </c>
      <c r="B79" s="4">
        <f>'GS DATA'!J79</f>
        <v>0</v>
      </c>
      <c r="C79" s="37" t="e">
        <f>VLOOKUP(B79,'GS 점포명'!A:B,2,0)</f>
        <v>#N/A</v>
      </c>
      <c r="D79" s="4">
        <f>'GS DATA'!J79</f>
        <v>0</v>
      </c>
      <c r="E79" s="37" t="e">
        <f>VLOOKUP(D79,'GS 점포명'!A:B,2,0)</f>
        <v>#N/A</v>
      </c>
      <c r="F79" s="38">
        <f>'GS DATA'!M79</f>
        <v>0</v>
      </c>
      <c r="G79" s="39" t="e">
        <f>VLOOKUP($F79,'GS 제품코드'!$A:$C,3,0)</f>
        <v>#N/A</v>
      </c>
      <c r="H79" s="40">
        <f>'GS DATA'!L79</f>
        <v>0</v>
      </c>
      <c r="I79" s="41">
        <f>'GS DATA'!Q79</f>
        <v>0</v>
      </c>
      <c r="J79" s="42">
        <f>'GS DATA'!S79</f>
        <v>0</v>
      </c>
      <c r="K79" s="43">
        <f t="shared" si="6"/>
        <v>0</v>
      </c>
    </row>
    <row r="80" spans="1:11" ht="15.6">
      <c r="A80" s="49">
        <f>'GS DATA'!X80</f>
        <v>0</v>
      </c>
      <c r="B80" s="4">
        <f>'GS DATA'!J80</f>
        <v>0</v>
      </c>
      <c r="C80" s="37" t="e">
        <f>VLOOKUP(B80,'GS 점포명'!A:B,2,0)</f>
        <v>#N/A</v>
      </c>
      <c r="D80" s="4">
        <f>'GS DATA'!J80</f>
        <v>0</v>
      </c>
      <c r="E80" s="37" t="e">
        <f>VLOOKUP(D80,'GS 점포명'!A:B,2,0)</f>
        <v>#N/A</v>
      </c>
      <c r="F80" s="38">
        <f>'GS DATA'!M80</f>
        <v>0</v>
      </c>
      <c r="G80" s="39" t="e">
        <f>VLOOKUP($F80,'GS 제품코드'!$A:$C,3,0)</f>
        <v>#N/A</v>
      </c>
      <c r="H80" s="40">
        <f>'GS DATA'!L80</f>
        <v>0</v>
      </c>
      <c r="I80" s="41">
        <f>'GS DATA'!Q80</f>
        <v>0</v>
      </c>
      <c r="J80" s="42">
        <f>'GS DATA'!S80</f>
        <v>0</v>
      </c>
      <c r="K80" s="43">
        <f t="shared" si="6"/>
        <v>0</v>
      </c>
    </row>
    <row r="81" spans="1:11" ht="15.6">
      <c r="A81" s="49">
        <f>'GS DATA'!X81</f>
        <v>0</v>
      </c>
      <c r="B81" s="4">
        <f>'GS DATA'!J81</f>
        <v>0</v>
      </c>
      <c r="C81" s="37" t="e">
        <f>VLOOKUP(B81,'GS 점포명'!A:B,2,0)</f>
        <v>#N/A</v>
      </c>
      <c r="D81" s="4">
        <f>'GS DATA'!J81</f>
        <v>0</v>
      </c>
      <c r="E81" s="37" t="e">
        <f>VLOOKUP(D81,'GS 점포명'!A:B,2,0)</f>
        <v>#N/A</v>
      </c>
      <c r="F81" s="38">
        <f>'GS DATA'!M81</f>
        <v>0</v>
      </c>
      <c r="G81" s="39" t="e">
        <f>VLOOKUP($F81,'GS 제품코드'!$A:$C,3,0)</f>
        <v>#N/A</v>
      </c>
      <c r="H81" s="40">
        <f>'GS DATA'!L81</f>
        <v>0</v>
      </c>
      <c r="I81" s="41">
        <f>'GS DATA'!Q81</f>
        <v>0</v>
      </c>
      <c r="J81" s="42">
        <f>'GS DATA'!S81</f>
        <v>0</v>
      </c>
      <c r="K81" s="43">
        <f t="shared" si="6"/>
        <v>0</v>
      </c>
    </row>
    <row r="82" spans="1:11" ht="15.6">
      <c r="A82" s="49">
        <f>'GS DATA'!X82</f>
        <v>0</v>
      </c>
      <c r="B82" s="4">
        <f>'GS DATA'!J82</f>
        <v>0</v>
      </c>
      <c r="C82" s="37" t="e">
        <f>VLOOKUP(B82,'GS 점포명'!A:B,2,0)</f>
        <v>#N/A</v>
      </c>
      <c r="D82" s="4">
        <f>'GS DATA'!J82</f>
        <v>0</v>
      </c>
      <c r="E82" s="37" t="e">
        <f>VLOOKUP(D82,'GS 점포명'!A:B,2,0)</f>
        <v>#N/A</v>
      </c>
      <c r="F82" s="38">
        <f>'GS DATA'!M82</f>
        <v>0</v>
      </c>
      <c r="G82" s="39" t="e">
        <f>VLOOKUP($F82,'GS 제품코드'!$A:$C,3,0)</f>
        <v>#N/A</v>
      </c>
      <c r="H82" s="40">
        <f>'GS DATA'!L82</f>
        <v>0</v>
      </c>
      <c r="I82" s="41">
        <f>'GS DATA'!Q82</f>
        <v>0</v>
      </c>
      <c r="J82" s="42">
        <f>'GS DATA'!S82</f>
        <v>0</v>
      </c>
      <c r="K82" s="43">
        <f t="shared" si="6"/>
        <v>0</v>
      </c>
    </row>
    <row r="83" spans="1:11" ht="15.6">
      <c r="A83" s="49">
        <f>'GS DATA'!X83</f>
        <v>0</v>
      </c>
      <c r="B83" s="4">
        <f>'GS DATA'!J83</f>
        <v>0</v>
      </c>
      <c r="C83" s="37" t="e">
        <f>VLOOKUP(B83,'GS 점포명'!A:B,2,0)</f>
        <v>#N/A</v>
      </c>
      <c r="D83" s="4">
        <f>'GS DATA'!J83</f>
        <v>0</v>
      </c>
      <c r="E83" s="37" t="e">
        <f>VLOOKUP(D83,'GS 점포명'!A:B,2,0)</f>
        <v>#N/A</v>
      </c>
      <c r="F83" s="38">
        <f>'GS DATA'!M83</f>
        <v>0</v>
      </c>
      <c r="G83" s="39" t="e">
        <f>VLOOKUP($F83,'GS 제품코드'!$A:$C,3,0)</f>
        <v>#N/A</v>
      </c>
      <c r="H83" s="40">
        <f>'GS DATA'!L83</f>
        <v>0</v>
      </c>
      <c r="I83" s="41">
        <f>'GS DATA'!Q83</f>
        <v>0</v>
      </c>
      <c r="J83" s="42">
        <f>'GS DATA'!S83</f>
        <v>0</v>
      </c>
      <c r="K83" s="43">
        <f t="shared" si="6"/>
        <v>0</v>
      </c>
    </row>
    <row r="84" spans="1:11" ht="15.6">
      <c r="A84" s="49">
        <f>'GS DATA'!X84</f>
        <v>0</v>
      </c>
      <c r="B84" s="4">
        <f>'GS DATA'!J84</f>
        <v>0</v>
      </c>
      <c r="C84" s="37" t="e">
        <f>VLOOKUP(B84,'GS 점포명'!A:B,2,0)</f>
        <v>#N/A</v>
      </c>
      <c r="D84" s="4">
        <f>'GS DATA'!J84</f>
        <v>0</v>
      </c>
      <c r="E84" s="37" t="e">
        <f>VLOOKUP(D84,'GS 점포명'!A:B,2,0)</f>
        <v>#N/A</v>
      </c>
      <c r="F84" s="38">
        <f>'GS DATA'!M84</f>
        <v>0</v>
      </c>
      <c r="G84" s="39" t="e">
        <f>VLOOKUP($F84,'GS 제품코드'!$A:$C,3,0)</f>
        <v>#N/A</v>
      </c>
      <c r="H84" s="40">
        <f>'GS DATA'!L84</f>
        <v>0</v>
      </c>
      <c r="I84" s="41">
        <f>'GS DATA'!Q84</f>
        <v>0</v>
      </c>
      <c r="J84" s="42">
        <f>'GS DATA'!S84</f>
        <v>0</v>
      </c>
      <c r="K84" s="43">
        <f t="shared" si="6"/>
        <v>0</v>
      </c>
    </row>
    <row r="85" spans="1:11" ht="15.6">
      <c r="A85" s="49">
        <f>'GS DATA'!X85</f>
        <v>0</v>
      </c>
      <c r="B85" s="4">
        <f>'GS DATA'!J85</f>
        <v>0</v>
      </c>
      <c r="C85" s="37" t="e">
        <f>VLOOKUP(B85,'GS 점포명'!A:B,2,0)</f>
        <v>#N/A</v>
      </c>
      <c r="D85" s="4">
        <f>'GS DATA'!J85</f>
        <v>0</v>
      </c>
      <c r="E85" s="37" t="e">
        <f>VLOOKUP(D85,'GS 점포명'!A:B,2,0)</f>
        <v>#N/A</v>
      </c>
      <c r="F85" s="38">
        <f>'GS DATA'!M85</f>
        <v>0</v>
      </c>
      <c r="G85" s="39" t="e">
        <f>VLOOKUP($F85,'GS 제품코드'!$A:$C,3,0)</f>
        <v>#N/A</v>
      </c>
      <c r="H85" s="40">
        <f>'GS DATA'!L85</f>
        <v>0</v>
      </c>
      <c r="I85" s="41">
        <f>'GS DATA'!Q85</f>
        <v>0</v>
      </c>
      <c r="J85" s="42">
        <f>'GS DATA'!S85</f>
        <v>0</v>
      </c>
      <c r="K85" s="43">
        <f t="shared" si="6"/>
        <v>0</v>
      </c>
    </row>
    <row r="86" spans="1:11" ht="15.6">
      <c r="A86" s="49">
        <f>'GS DATA'!X86</f>
        <v>0</v>
      </c>
      <c r="B86" s="4">
        <f>'GS DATA'!J86</f>
        <v>0</v>
      </c>
      <c r="C86" s="37" t="e">
        <f>VLOOKUP(B86,'GS 점포명'!A:B,2,0)</f>
        <v>#N/A</v>
      </c>
      <c r="D86" s="4">
        <f>'GS DATA'!J86</f>
        <v>0</v>
      </c>
      <c r="E86" s="37" t="e">
        <f>VLOOKUP(D86,'GS 점포명'!A:B,2,0)</f>
        <v>#N/A</v>
      </c>
      <c r="F86" s="38">
        <f>'GS DATA'!M86</f>
        <v>0</v>
      </c>
      <c r="G86" s="39" t="e">
        <f>VLOOKUP($F86,'GS 제품코드'!$A:$C,3,0)</f>
        <v>#N/A</v>
      </c>
      <c r="H86" s="40">
        <f>'GS DATA'!L86</f>
        <v>0</v>
      </c>
      <c r="I86" s="41">
        <f>'GS DATA'!Q86</f>
        <v>0</v>
      </c>
      <c r="J86" s="42">
        <f>'GS DATA'!S86</f>
        <v>0</v>
      </c>
      <c r="K86" s="43">
        <f t="shared" si="6"/>
        <v>0</v>
      </c>
    </row>
    <row r="87" spans="1:11" ht="15.6">
      <c r="A87" s="49">
        <f>'GS DATA'!X87</f>
        <v>0</v>
      </c>
      <c r="B87" s="4">
        <f>'GS DATA'!J87</f>
        <v>0</v>
      </c>
      <c r="C87" s="37" t="e">
        <f>VLOOKUP(B87,'GS 점포명'!A:B,2,0)</f>
        <v>#N/A</v>
      </c>
      <c r="D87" s="4">
        <f>'GS DATA'!J87</f>
        <v>0</v>
      </c>
      <c r="E87" s="37" t="e">
        <f>VLOOKUP(D87,'GS 점포명'!A:B,2,0)</f>
        <v>#N/A</v>
      </c>
      <c r="F87" s="38">
        <f>'GS DATA'!M87</f>
        <v>0</v>
      </c>
      <c r="G87" s="39" t="e">
        <f>VLOOKUP($F87,'GS 제품코드'!$A:$C,3,0)</f>
        <v>#N/A</v>
      </c>
      <c r="H87" s="40">
        <f>'GS DATA'!L87</f>
        <v>0</v>
      </c>
      <c r="I87" s="41">
        <f>'GS DATA'!Q87</f>
        <v>0</v>
      </c>
      <c r="J87" s="42">
        <f>'GS DATA'!S87</f>
        <v>0</v>
      </c>
      <c r="K87" s="43">
        <f t="shared" si="6"/>
        <v>0</v>
      </c>
    </row>
    <row r="88" spans="1:11" ht="15.6">
      <c r="A88" s="49">
        <f>'GS DATA'!X88</f>
        <v>0</v>
      </c>
      <c r="B88" s="4">
        <f>'GS DATA'!J88</f>
        <v>0</v>
      </c>
      <c r="C88" s="37" t="e">
        <f>VLOOKUP(B88,'GS 점포명'!A:B,2,0)</f>
        <v>#N/A</v>
      </c>
      <c r="D88" s="4">
        <f>'GS DATA'!J88</f>
        <v>0</v>
      </c>
      <c r="E88" s="37" t="e">
        <f>VLOOKUP(D88,'GS 점포명'!A:B,2,0)</f>
        <v>#N/A</v>
      </c>
      <c r="F88" s="38">
        <f>'GS DATA'!M88</f>
        <v>0</v>
      </c>
      <c r="G88" s="39" t="e">
        <f>VLOOKUP($F88,'GS 제품코드'!$A:$C,3,0)</f>
        <v>#N/A</v>
      </c>
      <c r="H88" s="40">
        <f>'GS DATA'!L88</f>
        <v>0</v>
      </c>
      <c r="I88" s="41">
        <f>'GS DATA'!Q88</f>
        <v>0</v>
      </c>
      <c r="J88" s="42">
        <f>'GS DATA'!S88</f>
        <v>0</v>
      </c>
      <c r="K88" s="43">
        <f t="shared" si="6"/>
        <v>0</v>
      </c>
    </row>
    <row r="89" spans="1:11" ht="15.6">
      <c r="A89" s="49">
        <f>'GS DATA'!X89</f>
        <v>0</v>
      </c>
      <c r="B89" s="4">
        <f>'GS DATA'!J89</f>
        <v>0</v>
      </c>
      <c r="C89" s="37" t="e">
        <f>VLOOKUP(B89,'GS 점포명'!A:B,2,0)</f>
        <v>#N/A</v>
      </c>
      <c r="D89" s="4">
        <f>'GS DATA'!J89</f>
        <v>0</v>
      </c>
      <c r="E89" s="37" t="e">
        <f>VLOOKUP(D89,'GS 점포명'!A:B,2,0)</f>
        <v>#N/A</v>
      </c>
      <c r="F89" s="38">
        <f>'GS DATA'!M89</f>
        <v>0</v>
      </c>
      <c r="G89" s="39" t="e">
        <f>VLOOKUP($F89,'GS 제품코드'!$A:$C,3,0)</f>
        <v>#N/A</v>
      </c>
      <c r="H89" s="40">
        <f>'GS DATA'!L89</f>
        <v>0</v>
      </c>
      <c r="I89" s="41">
        <f>'GS DATA'!Q89</f>
        <v>0</v>
      </c>
      <c r="J89" s="42">
        <f>'GS DATA'!S89</f>
        <v>0</v>
      </c>
      <c r="K89" s="43">
        <f t="shared" si="6"/>
        <v>0</v>
      </c>
    </row>
    <row r="90" spans="1:11" ht="15.6">
      <c r="A90" s="49">
        <f>'GS DATA'!X90</f>
        <v>0</v>
      </c>
      <c r="B90" s="4">
        <f>'GS DATA'!J90</f>
        <v>0</v>
      </c>
      <c r="C90" s="37" t="e">
        <f>VLOOKUP(B90,'GS 점포명'!A:B,2,0)</f>
        <v>#N/A</v>
      </c>
      <c r="D90" s="4">
        <f>'GS DATA'!J90</f>
        <v>0</v>
      </c>
      <c r="E90" s="37" t="e">
        <f>VLOOKUP(D90,'GS 점포명'!A:B,2,0)</f>
        <v>#N/A</v>
      </c>
      <c r="F90" s="38">
        <f>'GS DATA'!M90</f>
        <v>0</v>
      </c>
      <c r="G90" s="39" t="e">
        <f>VLOOKUP($F90,'GS 제품코드'!$A:$C,3,0)</f>
        <v>#N/A</v>
      </c>
      <c r="H90" s="40">
        <f>'GS DATA'!L90</f>
        <v>0</v>
      </c>
      <c r="I90" s="41">
        <f>'GS DATA'!Q90</f>
        <v>0</v>
      </c>
      <c r="J90" s="42">
        <f>'GS DATA'!S90</f>
        <v>0</v>
      </c>
      <c r="K90" s="43">
        <f t="shared" si="6"/>
        <v>0</v>
      </c>
    </row>
    <row r="91" spans="1:11" ht="15.6">
      <c r="A91" s="49">
        <f>'GS DATA'!X91</f>
        <v>0</v>
      </c>
      <c r="B91" s="4">
        <f>'GS DATA'!J91</f>
        <v>0</v>
      </c>
      <c r="C91" s="37" t="e">
        <f>VLOOKUP(B91,'GS 점포명'!A:B,2,0)</f>
        <v>#N/A</v>
      </c>
      <c r="D91" s="4">
        <f>'GS DATA'!J91</f>
        <v>0</v>
      </c>
      <c r="E91" s="37" t="e">
        <f>VLOOKUP(D91,'GS 점포명'!A:B,2,0)</f>
        <v>#N/A</v>
      </c>
      <c r="F91" s="38">
        <f>'GS DATA'!M91</f>
        <v>0</v>
      </c>
      <c r="G91" s="39" t="e">
        <f>VLOOKUP($F91,'GS 제품코드'!$A:$C,3,0)</f>
        <v>#N/A</v>
      </c>
      <c r="H91" s="40">
        <f>'GS DATA'!L91</f>
        <v>0</v>
      </c>
      <c r="I91" s="41">
        <f>'GS DATA'!Q91</f>
        <v>0</v>
      </c>
      <c r="J91" s="42">
        <f>'GS DATA'!S91</f>
        <v>0</v>
      </c>
      <c r="K91" s="43">
        <f t="shared" si="6"/>
        <v>0</v>
      </c>
    </row>
    <row r="92" spans="1:11" ht="15.6">
      <c r="A92" s="49">
        <f>'GS DATA'!X92</f>
        <v>0</v>
      </c>
      <c r="B92" s="4">
        <f>'GS DATA'!J92</f>
        <v>0</v>
      </c>
      <c r="C92" s="37" t="e">
        <f>VLOOKUP(B92,'GS 점포명'!A:B,2,0)</f>
        <v>#N/A</v>
      </c>
      <c r="D92" s="4">
        <f>'GS DATA'!J92</f>
        <v>0</v>
      </c>
      <c r="E92" s="37" t="e">
        <f>VLOOKUP(D92,'GS 점포명'!A:B,2,0)</f>
        <v>#N/A</v>
      </c>
      <c r="F92" s="38">
        <f>'GS DATA'!M92</f>
        <v>0</v>
      </c>
      <c r="G92" s="39" t="e">
        <f>VLOOKUP($F92,'GS 제품코드'!$A:$C,3,0)</f>
        <v>#N/A</v>
      </c>
      <c r="H92" s="40">
        <f>'GS DATA'!L92</f>
        <v>0</v>
      </c>
      <c r="I92" s="41">
        <f>'GS DATA'!Q92</f>
        <v>0</v>
      </c>
      <c r="J92" s="42">
        <f>'GS DATA'!S92</f>
        <v>0</v>
      </c>
      <c r="K92" s="43">
        <f t="shared" si="6"/>
        <v>0</v>
      </c>
    </row>
    <row r="93" spans="1:11" ht="15.6">
      <c r="A93" s="49">
        <f>'GS DATA'!X93</f>
        <v>0</v>
      </c>
      <c r="B93" s="4">
        <f>'GS DATA'!J93</f>
        <v>0</v>
      </c>
      <c r="C93" s="37" t="e">
        <f>VLOOKUP(B93,'GS 점포명'!A:B,2,0)</f>
        <v>#N/A</v>
      </c>
      <c r="D93" s="4">
        <f>'GS DATA'!J93</f>
        <v>0</v>
      </c>
      <c r="E93" s="37" t="e">
        <f>VLOOKUP(D93,'GS 점포명'!A:B,2,0)</f>
        <v>#N/A</v>
      </c>
      <c r="F93" s="38">
        <f>'GS DATA'!M93</f>
        <v>0</v>
      </c>
      <c r="G93" s="39" t="e">
        <f>VLOOKUP($F93,'GS 제품코드'!$A:$C,3,0)</f>
        <v>#N/A</v>
      </c>
      <c r="H93" s="40">
        <f>'GS DATA'!L93</f>
        <v>0</v>
      </c>
      <c r="I93" s="41">
        <f>'GS DATA'!Q93</f>
        <v>0</v>
      </c>
      <c r="J93" s="42">
        <f>'GS DATA'!S93</f>
        <v>0</v>
      </c>
      <c r="K93" s="43">
        <f t="shared" si="6"/>
        <v>0</v>
      </c>
    </row>
    <row r="94" spans="1:11" ht="15.6">
      <c r="A94" s="49">
        <f>'GS DATA'!X94</f>
        <v>0</v>
      </c>
      <c r="B94" s="4">
        <f>'GS DATA'!J94</f>
        <v>0</v>
      </c>
      <c r="C94" s="37" t="e">
        <f>VLOOKUP(B94,'GS 점포명'!A:B,2,0)</f>
        <v>#N/A</v>
      </c>
      <c r="D94" s="4">
        <f>'GS DATA'!J94</f>
        <v>0</v>
      </c>
      <c r="E94" s="37" t="e">
        <f>VLOOKUP(D94,'GS 점포명'!A:B,2,0)</f>
        <v>#N/A</v>
      </c>
      <c r="F94" s="38">
        <f>'GS DATA'!M94</f>
        <v>0</v>
      </c>
      <c r="G94" s="39" t="e">
        <f>VLOOKUP($F94,'GS 제품코드'!$A:$C,3,0)</f>
        <v>#N/A</v>
      </c>
      <c r="H94" s="40">
        <f>'GS DATA'!L94</f>
        <v>0</v>
      </c>
      <c r="I94" s="41">
        <f>'GS DATA'!Q94</f>
        <v>0</v>
      </c>
      <c r="J94" s="42">
        <f>'GS DATA'!S94</f>
        <v>0</v>
      </c>
      <c r="K94" s="43">
        <f t="shared" si="6"/>
        <v>0</v>
      </c>
    </row>
    <row r="95" spans="1:11" ht="15.6">
      <c r="A95" s="49">
        <f>'GS DATA'!X95</f>
        <v>0</v>
      </c>
      <c r="B95" s="4">
        <f>'GS DATA'!J95</f>
        <v>0</v>
      </c>
      <c r="C95" s="37" t="e">
        <f>VLOOKUP(B95,'GS 점포명'!A:B,2,0)</f>
        <v>#N/A</v>
      </c>
      <c r="D95" s="4">
        <f>'GS DATA'!J95</f>
        <v>0</v>
      </c>
      <c r="E95" s="37" t="e">
        <f>VLOOKUP(D95,'GS 점포명'!A:B,2,0)</f>
        <v>#N/A</v>
      </c>
      <c r="F95" s="38">
        <f>'GS DATA'!M95</f>
        <v>0</v>
      </c>
      <c r="G95" s="39" t="e">
        <f>VLOOKUP($F95,'GS 제품코드'!$A:$C,3,0)</f>
        <v>#N/A</v>
      </c>
      <c r="H95" s="40">
        <f>'GS DATA'!L95</f>
        <v>0</v>
      </c>
      <c r="I95" s="41">
        <f>'GS DATA'!Q95</f>
        <v>0</v>
      </c>
      <c r="J95" s="42">
        <f>'GS DATA'!S95</f>
        <v>0</v>
      </c>
      <c r="K95" s="43">
        <f t="shared" si="6"/>
        <v>0</v>
      </c>
    </row>
    <row r="96" spans="1:11" ht="15.6">
      <c r="A96" s="49">
        <f>'GS DATA'!X96</f>
        <v>0</v>
      </c>
      <c r="B96" s="4">
        <f>'GS DATA'!J96</f>
        <v>0</v>
      </c>
      <c r="C96" s="37" t="e">
        <f>VLOOKUP(B96,'GS 점포명'!A:B,2,0)</f>
        <v>#N/A</v>
      </c>
      <c r="D96" s="4">
        <f>'GS DATA'!J96</f>
        <v>0</v>
      </c>
      <c r="E96" s="37" t="e">
        <f>VLOOKUP(D96,'GS 점포명'!A:B,2,0)</f>
        <v>#N/A</v>
      </c>
      <c r="F96" s="38">
        <f>'GS DATA'!M96</f>
        <v>0</v>
      </c>
      <c r="G96" s="39" t="e">
        <f>VLOOKUP($F96,'GS 제품코드'!$A:$C,3,0)</f>
        <v>#N/A</v>
      </c>
      <c r="H96" s="40">
        <f>'GS DATA'!L96</f>
        <v>0</v>
      </c>
      <c r="I96" s="41">
        <f>'GS DATA'!Q96</f>
        <v>0</v>
      </c>
      <c r="J96" s="42">
        <f>'GS DATA'!S96</f>
        <v>0</v>
      </c>
      <c r="K96" s="43">
        <f t="shared" si="6"/>
        <v>0</v>
      </c>
    </row>
    <row r="97" spans="1:11" ht="15.6">
      <c r="A97" s="49">
        <f>'GS DATA'!X97</f>
        <v>0</v>
      </c>
      <c r="B97" s="4">
        <f>'GS DATA'!J97</f>
        <v>0</v>
      </c>
      <c r="C97" s="37" t="e">
        <f>VLOOKUP(B97,'GS 점포명'!A:B,2,0)</f>
        <v>#N/A</v>
      </c>
      <c r="D97" s="4">
        <f>'GS DATA'!J97</f>
        <v>0</v>
      </c>
      <c r="E97" s="37" t="e">
        <f>VLOOKUP(D97,'GS 점포명'!A:B,2,0)</f>
        <v>#N/A</v>
      </c>
      <c r="F97" s="38">
        <f>'GS DATA'!M97</f>
        <v>0</v>
      </c>
      <c r="G97" s="39" t="e">
        <f>VLOOKUP($F97,'GS 제품코드'!$A:$C,3,0)</f>
        <v>#N/A</v>
      </c>
      <c r="H97" s="40">
        <f>'GS DATA'!L97</f>
        <v>0</v>
      </c>
      <c r="I97" s="41">
        <f>'GS DATA'!Q97</f>
        <v>0</v>
      </c>
      <c r="J97" s="42">
        <f>'GS DATA'!S97</f>
        <v>0</v>
      </c>
      <c r="K97" s="43">
        <f t="shared" si="6"/>
        <v>0</v>
      </c>
    </row>
    <row r="98" spans="1:11" ht="15.6">
      <c r="A98" s="49">
        <f>'GS DATA'!X98</f>
        <v>0</v>
      </c>
      <c r="B98" s="4">
        <f>'GS DATA'!J98</f>
        <v>0</v>
      </c>
      <c r="C98" s="37" t="e">
        <f>VLOOKUP(B98,'GS 점포명'!A:B,2,0)</f>
        <v>#N/A</v>
      </c>
      <c r="D98" s="4">
        <f>'GS DATA'!J98</f>
        <v>0</v>
      </c>
      <c r="E98" s="37" t="e">
        <f>VLOOKUP(D98,'GS 점포명'!A:B,2,0)</f>
        <v>#N/A</v>
      </c>
      <c r="F98" s="38">
        <f>'GS DATA'!M98</f>
        <v>0</v>
      </c>
      <c r="G98" s="39" t="e">
        <f>VLOOKUP($F98,'GS 제품코드'!$A:$C,3,0)</f>
        <v>#N/A</v>
      </c>
      <c r="H98" s="40">
        <f>'GS DATA'!L98</f>
        <v>0</v>
      </c>
      <c r="I98" s="41">
        <f>'GS DATA'!Q98</f>
        <v>0</v>
      </c>
      <c r="J98" s="42">
        <f>'GS DATA'!S98</f>
        <v>0</v>
      </c>
      <c r="K98" s="43">
        <f t="shared" si="6"/>
        <v>0</v>
      </c>
    </row>
    <row r="99" spans="1:11" ht="15.6">
      <c r="A99" s="49">
        <f>'GS DATA'!X99</f>
        <v>0</v>
      </c>
      <c r="B99" s="4">
        <f>'GS DATA'!J99</f>
        <v>0</v>
      </c>
      <c r="C99" s="37" t="e">
        <f>VLOOKUP(B99,'GS 점포명'!A:B,2,0)</f>
        <v>#N/A</v>
      </c>
      <c r="D99" s="4">
        <f>'GS DATA'!J99</f>
        <v>0</v>
      </c>
      <c r="E99" s="37" t="e">
        <f>VLOOKUP(D99,'GS 점포명'!A:B,2,0)</f>
        <v>#N/A</v>
      </c>
      <c r="F99" s="38">
        <f>'GS DATA'!M99</f>
        <v>0</v>
      </c>
      <c r="G99" s="39" t="e">
        <f>VLOOKUP($F99,'GS 제품코드'!$A:$C,3,0)</f>
        <v>#N/A</v>
      </c>
      <c r="H99" s="40">
        <f>'GS DATA'!L99</f>
        <v>0</v>
      </c>
      <c r="I99" s="41">
        <f>'GS DATA'!Q99</f>
        <v>0</v>
      </c>
      <c r="J99" s="42">
        <f>'GS DATA'!S99</f>
        <v>0</v>
      </c>
      <c r="K99" s="43">
        <f t="shared" ref="K99:K162" si="7">I99*J99</f>
        <v>0</v>
      </c>
    </row>
    <row r="100" spans="1:11" ht="15.6">
      <c r="A100" s="49">
        <f>'GS DATA'!X100</f>
        <v>0</v>
      </c>
      <c r="B100" s="4">
        <f>'GS DATA'!J100</f>
        <v>0</v>
      </c>
      <c r="C100" s="37" t="e">
        <f>VLOOKUP(B100,'GS 점포명'!A:B,2,0)</f>
        <v>#N/A</v>
      </c>
      <c r="D100" s="4">
        <f>'GS DATA'!J100</f>
        <v>0</v>
      </c>
      <c r="E100" s="37" t="e">
        <f>VLOOKUP(D100,'GS 점포명'!A:B,2,0)</f>
        <v>#N/A</v>
      </c>
      <c r="F100" s="38">
        <f>'GS DATA'!M100</f>
        <v>0</v>
      </c>
      <c r="G100" s="39" t="e">
        <f>VLOOKUP($F100,'GS 제품코드'!$A:$C,3,0)</f>
        <v>#N/A</v>
      </c>
      <c r="H100" s="40">
        <f>'GS DATA'!L100</f>
        <v>0</v>
      </c>
      <c r="I100" s="41">
        <f>'GS DATA'!Q100</f>
        <v>0</v>
      </c>
      <c r="J100" s="42">
        <f>'GS DATA'!S100</f>
        <v>0</v>
      </c>
      <c r="K100" s="43">
        <f t="shared" si="7"/>
        <v>0</v>
      </c>
    </row>
    <row r="101" spans="1:11" ht="15.6">
      <c r="A101" s="49">
        <f>'GS DATA'!X101</f>
        <v>0</v>
      </c>
      <c r="B101" s="4">
        <f>'GS DATA'!J101</f>
        <v>0</v>
      </c>
      <c r="C101" s="37" t="e">
        <f>VLOOKUP(B101,'GS 점포명'!A:B,2,0)</f>
        <v>#N/A</v>
      </c>
      <c r="D101" s="4">
        <f>'GS DATA'!J101</f>
        <v>0</v>
      </c>
      <c r="E101" s="37" t="e">
        <f>VLOOKUP(D101,'GS 점포명'!A:B,2,0)</f>
        <v>#N/A</v>
      </c>
      <c r="F101" s="38">
        <f>'GS DATA'!M101</f>
        <v>0</v>
      </c>
      <c r="G101" s="39" t="e">
        <f>VLOOKUP($F101,'GS 제품코드'!$A:$C,3,0)</f>
        <v>#N/A</v>
      </c>
      <c r="H101" s="40">
        <f>'GS DATA'!L101</f>
        <v>0</v>
      </c>
      <c r="I101" s="41">
        <f>'GS DATA'!Q101</f>
        <v>0</v>
      </c>
      <c r="J101" s="42">
        <f>'GS DATA'!S101</f>
        <v>0</v>
      </c>
      <c r="K101" s="43">
        <f t="shared" si="7"/>
        <v>0</v>
      </c>
    </row>
    <row r="102" spans="1:11" ht="15.6">
      <c r="A102" s="49">
        <f>'GS DATA'!X102</f>
        <v>0</v>
      </c>
      <c r="B102" s="4">
        <f>'GS DATA'!J102</f>
        <v>0</v>
      </c>
      <c r="C102" s="37" t="e">
        <f>VLOOKUP(B102,'GS 점포명'!A:B,2,0)</f>
        <v>#N/A</v>
      </c>
      <c r="D102" s="4">
        <f>'GS DATA'!J102</f>
        <v>0</v>
      </c>
      <c r="E102" s="37" t="e">
        <f>VLOOKUP(D102,'GS 점포명'!A:B,2,0)</f>
        <v>#N/A</v>
      </c>
      <c r="F102" s="38">
        <f>'GS DATA'!M102</f>
        <v>0</v>
      </c>
      <c r="G102" s="39" t="e">
        <f>VLOOKUP($F102,'GS 제품코드'!$A:$C,3,0)</f>
        <v>#N/A</v>
      </c>
      <c r="H102" s="40">
        <f>'GS DATA'!L102</f>
        <v>0</v>
      </c>
      <c r="I102" s="41">
        <f>'GS DATA'!Q102</f>
        <v>0</v>
      </c>
      <c r="J102" s="42">
        <f>'GS DATA'!S102</f>
        <v>0</v>
      </c>
      <c r="K102" s="43">
        <f t="shared" si="7"/>
        <v>0</v>
      </c>
    </row>
    <row r="103" spans="1:11" ht="15.6">
      <c r="A103" s="49">
        <f>'GS DATA'!X103</f>
        <v>0</v>
      </c>
      <c r="B103" s="4">
        <f>'GS DATA'!J103</f>
        <v>0</v>
      </c>
      <c r="C103" s="37" t="e">
        <f>VLOOKUP(B103,'GS 점포명'!A:B,2,0)</f>
        <v>#N/A</v>
      </c>
      <c r="D103" s="4">
        <f>'GS DATA'!J103</f>
        <v>0</v>
      </c>
      <c r="E103" s="37" t="e">
        <f>VLOOKUP(D103,'GS 점포명'!A:B,2,0)</f>
        <v>#N/A</v>
      </c>
      <c r="F103" s="38">
        <f>'GS DATA'!M103</f>
        <v>0</v>
      </c>
      <c r="G103" s="39" t="e">
        <f>VLOOKUP($F103,'GS 제품코드'!$A:$C,3,0)</f>
        <v>#N/A</v>
      </c>
      <c r="H103" s="40">
        <f>'GS DATA'!L103</f>
        <v>0</v>
      </c>
      <c r="I103" s="41">
        <f>'GS DATA'!Q103</f>
        <v>0</v>
      </c>
      <c r="J103" s="42">
        <f>'GS DATA'!S103</f>
        <v>0</v>
      </c>
      <c r="K103" s="43">
        <f t="shared" si="7"/>
        <v>0</v>
      </c>
    </row>
    <row r="104" spans="1:11" ht="15.6">
      <c r="A104" s="49">
        <f>'GS DATA'!X104</f>
        <v>0</v>
      </c>
      <c r="B104" s="4">
        <f>'GS DATA'!J104</f>
        <v>0</v>
      </c>
      <c r="C104" s="37" t="e">
        <f>VLOOKUP(B104,'GS 점포명'!A:B,2,0)</f>
        <v>#N/A</v>
      </c>
      <c r="D104" s="4">
        <f>'GS DATA'!J104</f>
        <v>0</v>
      </c>
      <c r="E104" s="37" t="e">
        <f>VLOOKUP(D104,'GS 점포명'!A:B,2,0)</f>
        <v>#N/A</v>
      </c>
      <c r="F104" s="38">
        <f>'GS DATA'!M104</f>
        <v>0</v>
      </c>
      <c r="G104" s="39" t="e">
        <f>VLOOKUP($F104,'GS 제품코드'!$A:$C,3,0)</f>
        <v>#N/A</v>
      </c>
      <c r="H104" s="40">
        <f>'GS DATA'!L104</f>
        <v>0</v>
      </c>
      <c r="I104" s="41">
        <f>'GS DATA'!Q104</f>
        <v>0</v>
      </c>
      <c r="J104" s="42">
        <f>'GS DATA'!S104</f>
        <v>0</v>
      </c>
      <c r="K104" s="43">
        <f t="shared" si="7"/>
        <v>0</v>
      </c>
    </row>
    <row r="105" spans="1:11" ht="15.6">
      <c r="A105" s="49">
        <f>'GS DATA'!X105</f>
        <v>0</v>
      </c>
      <c r="B105" s="4">
        <f>'GS DATA'!J105</f>
        <v>0</v>
      </c>
      <c r="C105" s="37" t="e">
        <f>VLOOKUP(B105,'GS 점포명'!A:B,2,0)</f>
        <v>#N/A</v>
      </c>
      <c r="D105" s="4">
        <f>'GS DATA'!J105</f>
        <v>0</v>
      </c>
      <c r="E105" s="37" t="e">
        <f>VLOOKUP(D105,'GS 점포명'!A:B,2,0)</f>
        <v>#N/A</v>
      </c>
      <c r="F105" s="38">
        <f>'GS DATA'!M105</f>
        <v>0</v>
      </c>
      <c r="G105" s="39" t="e">
        <f>VLOOKUP($F105,'GS 제품코드'!$A:$C,3,0)</f>
        <v>#N/A</v>
      </c>
      <c r="H105" s="40">
        <f>'GS DATA'!L105</f>
        <v>0</v>
      </c>
      <c r="I105" s="41">
        <f>'GS DATA'!Q105</f>
        <v>0</v>
      </c>
      <c r="J105" s="42">
        <f>'GS DATA'!S105</f>
        <v>0</v>
      </c>
      <c r="K105" s="43">
        <f t="shared" si="7"/>
        <v>0</v>
      </c>
    </row>
    <row r="106" spans="1:11" ht="15.6">
      <c r="A106" s="49">
        <f>'GS DATA'!X106</f>
        <v>0</v>
      </c>
      <c r="B106" s="4">
        <f>'GS DATA'!J106</f>
        <v>0</v>
      </c>
      <c r="C106" s="37" t="e">
        <f>VLOOKUP(B106,'GS 점포명'!A:B,2,0)</f>
        <v>#N/A</v>
      </c>
      <c r="D106" s="4">
        <f>'GS DATA'!J106</f>
        <v>0</v>
      </c>
      <c r="E106" s="37" t="e">
        <f>VLOOKUP(D106,'GS 점포명'!A:B,2,0)</f>
        <v>#N/A</v>
      </c>
      <c r="F106" s="38">
        <f>'GS DATA'!M106</f>
        <v>0</v>
      </c>
      <c r="G106" s="39" t="e">
        <f>VLOOKUP($F106,'GS 제품코드'!$A:$C,3,0)</f>
        <v>#N/A</v>
      </c>
      <c r="H106" s="40">
        <f>'GS DATA'!L106</f>
        <v>0</v>
      </c>
      <c r="I106" s="41">
        <f>'GS DATA'!Q106</f>
        <v>0</v>
      </c>
      <c r="J106" s="42">
        <f>'GS DATA'!S106</f>
        <v>0</v>
      </c>
      <c r="K106" s="43">
        <f t="shared" si="7"/>
        <v>0</v>
      </c>
    </row>
    <row r="107" spans="1:11" ht="15.6">
      <c r="A107" s="49">
        <f>'GS DATA'!X107</f>
        <v>0</v>
      </c>
      <c r="B107" s="4">
        <f>'GS DATA'!J107</f>
        <v>0</v>
      </c>
      <c r="C107" s="37" t="e">
        <f>VLOOKUP(B107,'GS 점포명'!A:B,2,0)</f>
        <v>#N/A</v>
      </c>
      <c r="D107" s="4">
        <f>'GS DATA'!J107</f>
        <v>0</v>
      </c>
      <c r="E107" s="37" t="e">
        <f>VLOOKUP(D107,'GS 점포명'!A:B,2,0)</f>
        <v>#N/A</v>
      </c>
      <c r="F107" s="38">
        <f>'GS DATA'!M107</f>
        <v>0</v>
      </c>
      <c r="G107" s="39" t="e">
        <f>VLOOKUP($F107,'GS 제품코드'!$A:$C,3,0)</f>
        <v>#N/A</v>
      </c>
      <c r="H107" s="40">
        <f>'GS DATA'!L107</f>
        <v>0</v>
      </c>
      <c r="I107" s="41">
        <f>'GS DATA'!Q107</f>
        <v>0</v>
      </c>
      <c r="J107" s="42">
        <f>'GS DATA'!S107</f>
        <v>0</v>
      </c>
      <c r="K107" s="43">
        <f t="shared" si="7"/>
        <v>0</v>
      </c>
    </row>
    <row r="108" spans="1:11" ht="15.6">
      <c r="A108" s="49">
        <f>'GS DATA'!X108</f>
        <v>0</v>
      </c>
      <c r="B108" s="4">
        <f>'GS DATA'!J108</f>
        <v>0</v>
      </c>
      <c r="C108" s="37" t="e">
        <f>VLOOKUP(B108,'GS 점포명'!A:B,2,0)</f>
        <v>#N/A</v>
      </c>
      <c r="D108" s="4">
        <f>'GS DATA'!J108</f>
        <v>0</v>
      </c>
      <c r="E108" s="37" t="e">
        <f>VLOOKUP(D108,'GS 점포명'!A:B,2,0)</f>
        <v>#N/A</v>
      </c>
      <c r="F108" s="38">
        <f>'GS DATA'!M108</f>
        <v>0</v>
      </c>
      <c r="G108" s="39" t="e">
        <f>VLOOKUP($F108,'GS 제품코드'!$A:$C,3,0)</f>
        <v>#N/A</v>
      </c>
      <c r="H108" s="40">
        <f>'GS DATA'!L108</f>
        <v>0</v>
      </c>
      <c r="I108" s="41">
        <f>'GS DATA'!Q108</f>
        <v>0</v>
      </c>
      <c r="J108" s="42">
        <f>'GS DATA'!S108</f>
        <v>0</v>
      </c>
      <c r="K108" s="43">
        <f t="shared" si="7"/>
        <v>0</v>
      </c>
    </row>
    <row r="109" spans="1:11" ht="15.6">
      <c r="A109" s="49">
        <f>'GS DATA'!X109</f>
        <v>0</v>
      </c>
      <c r="B109" s="4">
        <f>'GS DATA'!J109</f>
        <v>0</v>
      </c>
      <c r="C109" s="37" t="e">
        <f>VLOOKUP(B109,'GS 점포명'!A:B,2,0)</f>
        <v>#N/A</v>
      </c>
      <c r="D109" s="4">
        <f>'GS DATA'!J109</f>
        <v>0</v>
      </c>
      <c r="E109" s="37" t="e">
        <f>VLOOKUP(D109,'GS 점포명'!A:B,2,0)</f>
        <v>#N/A</v>
      </c>
      <c r="F109" s="38">
        <f>'GS DATA'!M109</f>
        <v>0</v>
      </c>
      <c r="G109" s="39" t="e">
        <f>VLOOKUP($F109,'GS 제품코드'!$A:$C,3,0)</f>
        <v>#N/A</v>
      </c>
      <c r="H109" s="40">
        <f>'GS DATA'!L109</f>
        <v>0</v>
      </c>
      <c r="I109" s="41">
        <f>'GS DATA'!Q109</f>
        <v>0</v>
      </c>
      <c r="J109" s="42">
        <f>'GS DATA'!S109</f>
        <v>0</v>
      </c>
      <c r="K109" s="43">
        <f t="shared" si="7"/>
        <v>0</v>
      </c>
    </row>
    <row r="110" spans="1:11" ht="15.6">
      <c r="A110" s="49">
        <f>'GS DATA'!X110</f>
        <v>0</v>
      </c>
      <c r="B110" s="4">
        <f>'GS DATA'!J110</f>
        <v>0</v>
      </c>
      <c r="C110" s="37" t="e">
        <f>VLOOKUP(B110,'GS 점포명'!A:B,2,0)</f>
        <v>#N/A</v>
      </c>
      <c r="D110" s="4">
        <f>'GS DATA'!J110</f>
        <v>0</v>
      </c>
      <c r="E110" s="37" t="e">
        <f>VLOOKUP(D110,'GS 점포명'!A:B,2,0)</f>
        <v>#N/A</v>
      </c>
      <c r="F110" s="38">
        <f>'GS DATA'!M110</f>
        <v>0</v>
      </c>
      <c r="G110" s="39" t="e">
        <f>VLOOKUP($F110,'GS 제품코드'!$A:$C,3,0)</f>
        <v>#N/A</v>
      </c>
      <c r="H110" s="40">
        <f>'GS DATA'!L110</f>
        <v>0</v>
      </c>
      <c r="I110" s="41">
        <f>'GS DATA'!Q110</f>
        <v>0</v>
      </c>
      <c r="J110" s="42">
        <f>'GS DATA'!S110</f>
        <v>0</v>
      </c>
      <c r="K110" s="43">
        <f t="shared" si="7"/>
        <v>0</v>
      </c>
    </row>
    <row r="111" spans="1:11" ht="15.6">
      <c r="A111" s="49">
        <f>'GS DATA'!X111</f>
        <v>0</v>
      </c>
      <c r="B111" s="4">
        <f>'GS DATA'!J111</f>
        <v>0</v>
      </c>
      <c r="C111" s="37" t="e">
        <f>VLOOKUP(B111,'GS 점포명'!A:B,2,0)</f>
        <v>#N/A</v>
      </c>
      <c r="D111" s="4">
        <f>'GS DATA'!J111</f>
        <v>0</v>
      </c>
      <c r="E111" s="37" t="e">
        <f>VLOOKUP(D111,'GS 점포명'!A:B,2,0)</f>
        <v>#N/A</v>
      </c>
      <c r="F111" s="38">
        <f>'GS DATA'!M111</f>
        <v>0</v>
      </c>
      <c r="G111" s="39" t="e">
        <f>VLOOKUP($F111,'GS 제품코드'!$A:$C,3,0)</f>
        <v>#N/A</v>
      </c>
      <c r="H111" s="40">
        <f>'GS DATA'!L111</f>
        <v>0</v>
      </c>
      <c r="I111" s="41">
        <f>'GS DATA'!Q111</f>
        <v>0</v>
      </c>
      <c r="J111" s="42">
        <f>'GS DATA'!S111</f>
        <v>0</v>
      </c>
      <c r="K111" s="43">
        <f t="shared" si="7"/>
        <v>0</v>
      </c>
    </row>
    <row r="112" spans="1:11" ht="15.6">
      <c r="A112" s="49">
        <f>'GS DATA'!X112</f>
        <v>0</v>
      </c>
      <c r="B112" s="4">
        <f>'GS DATA'!J112</f>
        <v>0</v>
      </c>
      <c r="C112" s="37" t="e">
        <f>VLOOKUP(B112,'GS 점포명'!A:B,2,0)</f>
        <v>#N/A</v>
      </c>
      <c r="D112" s="4">
        <f>'GS DATA'!J112</f>
        <v>0</v>
      </c>
      <c r="E112" s="37" t="e">
        <f>VLOOKUP(D112,'GS 점포명'!A:B,2,0)</f>
        <v>#N/A</v>
      </c>
      <c r="F112" s="38">
        <f>'GS DATA'!M112</f>
        <v>0</v>
      </c>
      <c r="G112" s="39" t="e">
        <f>VLOOKUP($F112,'GS 제품코드'!$A:$C,3,0)</f>
        <v>#N/A</v>
      </c>
      <c r="H112" s="40">
        <f>'GS DATA'!L112</f>
        <v>0</v>
      </c>
      <c r="I112" s="41">
        <f>'GS DATA'!Q112</f>
        <v>0</v>
      </c>
      <c r="J112" s="42">
        <f>'GS DATA'!S112</f>
        <v>0</v>
      </c>
      <c r="K112" s="43">
        <f t="shared" si="7"/>
        <v>0</v>
      </c>
    </row>
    <row r="113" spans="1:11" ht="15.6">
      <c r="A113" s="49">
        <f>'GS DATA'!X113</f>
        <v>0</v>
      </c>
      <c r="B113" s="4">
        <f>'GS DATA'!J113</f>
        <v>0</v>
      </c>
      <c r="C113" s="37" t="e">
        <f>VLOOKUP(B113,'GS 점포명'!A:B,2,0)</f>
        <v>#N/A</v>
      </c>
      <c r="D113" s="4">
        <f>'GS DATA'!J113</f>
        <v>0</v>
      </c>
      <c r="E113" s="37" t="e">
        <f>VLOOKUP(D113,'GS 점포명'!A:B,2,0)</f>
        <v>#N/A</v>
      </c>
      <c r="F113" s="38">
        <f>'GS DATA'!M113</f>
        <v>0</v>
      </c>
      <c r="G113" s="39" t="e">
        <f>VLOOKUP($F113,'GS 제품코드'!$A:$C,3,0)</f>
        <v>#N/A</v>
      </c>
      <c r="H113" s="40">
        <f>'GS DATA'!L113</f>
        <v>0</v>
      </c>
      <c r="I113" s="41">
        <f>'GS DATA'!Q113</f>
        <v>0</v>
      </c>
      <c r="J113" s="42">
        <f>'GS DATA'!S113</f>
        <v>0</v>
      </c>
      <c r="K113" s="43">
        <f t="shared" si="7"/>
        <v>0</v>
      </c>
    </row>
    <row r="114" spans="1:11" ht="15.6">
      <c r="A114" s="49">
        <f>'GS DATA'!X114</f>
        <v>0</v>
      </c>
      <c r="B114" s="4">
        <f>'GS DATA'!J114</f>
        <v>0</v>
      </c>
      <c r="C114" s="37" t="e">
        <f>VLOOKUP(B114,'GS 점포명'!A:B,2,0)</f>
        <v>#N/A</v>
      </c>
      <c r="D114" s="4">
        <f>'GS DATA'!J114</f>
        <v>0</v>
      </c>
      <c r="E114" s="37" t="e">
        <f>VLOOKUP(D114,'GS 점포명'!A:B,2,0)</f>
        <v>#N/A</v>
      </c>
      <c r="F114" s="38">
        <f>'GS DATA'!M114</f>
        <v>0</v>
      </c>
      <c r="G114" s="39" t="e">
        <f>VLOOKUP($F114,'GS 제품코드'!$A:$C,3,0)</f>
        <v>#N/A</v>
      </c>
      <c r="H114" s="40">
        <f>'GS DATA'!L114</f>
        <v>0</v>
      </c>
      <c r="I114" s="41">
        <f>'GS DATA'!Q114</f>
        <v>0</v>
      </c>
      <c r="J114" s="42">
        <f>'GS DATA'!S114</f>
        <v>0</v>
      </c>
      <c r="K114" s="43">
        <f t="shared" si="7"/>
        <v>0</v>
      </c>
    </row>
    <row r="115" spans="1:11" ht="15.6">
      <c r="A115" s="49">
        <f>'GS DATA'!X115</f>
        <v>0</v>
      </c>
      <c r="B115" s="4">
        <f>'GS DATA'!J115</f>
        <v>0</v>
      </c>
      <c r="C115" s="37" t="e">
        <f>VLOOKUP(B115,'GS 점포명'!A:B,2,0)</f>
        <v>#N/A</v>
      </c>
      <c r="D115" s="4">
        <f>'GS DATA'!J115</f>
        <v>0</v>
      </c>
      <c r="E115" s="37" t="e">
        <f>VLOOKUP(D115,'GS 점포명'!A:B,2,0)</f>
        <v>#N/A</v>
      </c>
      <c r="F115" s="38">
        <f>'GS DATA'!M115</f>
        <v>0</v>
      </c>
      <c r="G115" s="39" t="e">
        <f>VLOOKUP($F115,'GS 제품코드'!$A:$C,3,0)</f>
        <v>#N/A</v>
      </c>
      <c r="H115" s="40">
        <f>'GS DATA'!L115</f>
        <v>0</v>
      </c>
      <c r="I115" s="41">
        <f>'GS DATA'!Q115</f>
        <v>0</v>
      </c>
      <c r="J115" s="42">
        <f>'GS DATA'!S115</f>
        <v>0</v>
      </c>
      <c r="K115" s="43">
        <f t="shared" si="7"/>
        <v>0</v>
      </c>
    </row>
    <row r="116" spans="1:11" ht="15.6">
      <c r="A116" s="49">
        <f>'GS DATA'!X116</f>
        <v>0</v>
      </c>
      <c r="B116" s="4">
        <f>'GS DATA'!J116</f>
        <v>0</v>
      </c>
      <c r="C116" s="37" t="e">
        <f>VLOOKUP(B116,'GS 점포명'!A:B,2,0)</f>
        <v>#N/A</v>
      </c>
      <c r="D116" s="4">
        <f>'GS DATA'!J116</f>
        <v>0</v>
      </c>
      <c r="E116" s="37" t="e">
        <f>VLOOKUP(D116,'GS 점포명'!A:B,2,0)</f>
        <v>#N/A</v>
      </c>
      <c r="F116" s="38">
        <f>'GS DATA'!M116</f>
        <v>0</v>
      </c>
      <c r="G116" s="39" t="e">
        <f>VLOOKUP($F116,'GS 제품코드'!$A:$C,3,0)</f>
        <v>#N/A</v>
      </c>
      <c r="H116" s="40">
        <f>'GS DATA'!L116</f>
        <v>0</v>
      </c>
      <c r="I116" s="41">
        <f>'GS DATA'!Q116</f>
        <v>0</v>
      </c>
      <c r="J116" s="42">
        <f>'GS DATA'!S116</f>
        <v>0</v>
      </c>
      <c r="K116" s="43">
        <f t="shared" si="7"/>
        <v>0</v>
      </c>
    </row>
    <row r="117" spans="1:11" ht="15.6">
      <c r="A117" s="49">
        <f>'GS DATA'!X117</f>
        <v>0</v>
      </c>
      <c r="B117" s="4">
        <f>'GS DATA'!J117</f>
        <v>0</v>
      </c>
      <c r="C117" s="37" t="e">
        <f>VLOOKUP(B117,'GS 점포명'!A:B,2,0)</f>
        <v>#N/A</v>
      </c>
      <c r="D117" s="4">
        <f>'GS DATA'!J117</f>
        <v>0</v>
      </c>
      <c r="E117" s="37" t="e">
        <f>VLOOKUP(D117,'GS 점포명'!A:B,2,0)</f>
        <v>#N/A</v>
      </c>
      <c r="F117" s="38">
        <f>'GS DATA'!M117</f>
        <v>0</v>
      </c>
      <c r="G117" s="39" t="e">
        <f>VLOOKUP($F117,'GS 제품코드'!$A:$C,3,0)</f>
        <v>#N/A</v>
      </c>
      <c r="H117" s="40">
        <f>'GS DATA'!L117</f>
        <v>0</v>
      </c>
      <c r="I117" s="41">
        <f>'GS DATA'!Q117</f>
        <v>0</v>
      </c>
      <c r="J117" s="42">
        <f>'GS DATA'!S117</f>
        <v>0</v>
      </c>
      <c r="K117" s="43">
        <f t="shared" si="7"/>
        <v>0</v>
      </c>
    </row>
    <row r="118" spans="1:11" ht="15.6">
      <c r="A118" s="49">
        <f>'GS DATA'!X118</f>
        <v>0</v>
      </c>
      <c r="B118" s="4">
        <f>'GS DATA'!J118</f>
        <v>0</v>
      </c>
      <c r="C118" s="37" t="e">
        <f>VLOOKUP(B118,'GS 점포명'!A:B,2,0)</f>
        <v>#N/A</v>
      </c>
      <c r="D118" s="4">
        <f>'GS DATA'!J118</f>
        <v>0</v>
      </c>
      <c r="E118" s="37" t="e">
        <f>VLOOKUP(D118,'GS 점포명'!A:B,2,0)</f>
        <v>#N/A</v>
      </c>
      <c r="F118" s="38">
        <f>'GS DATA'!M118</f>
        <v>0</v>
      </c>
      <c r="G118" s="39" t="e">
        <f>VLOOKUP($F118,'GS 제품코드'!$A:$C,3,0)</f>
        <v>#N/A</v>
      </c>
      <c r="H118" s="40">
        <f>'GS DATA'!L118</f>
        <v>0</v>
      </c>
      <c r="I118" s="41">
        <f>'GS DATA'!Q118</f>
        <v>0</v>
      </c>
      <c r="J118" s="42">
        <f>'GS DATA'!S118</f>
        <v>0</v>
      </c>
      <c r="K118" s="43">
        <f t="shared" si="7"/>
        <v>0</v>
      </c>
    </row>
    <row r="119" spans="1:11" ht="15.6">
      <c r="A119" s="49">
        <f>'GS DATA'!X119</f>
        <v>0</v>
      </c>
      <c r="B119" s="4">
        <f>'GS DATA'!J119</f>
        <v>0</v>
      </c>
      <c r="C119" s="37" t="e">
        <f>VLOOKUP(B119,'GS 점포명'!A:B,2,0)</f>
        <v>#N/A</v>
      </c>
      <c r="D119" s="4">
        <f>'GS DATA'!J119</f>
        <v>0</v>
      </c>
      <c r="E119" s="37" t="e">
        <f>VLOOKUP(D119,'GS 점포명'!A:B,2,0)</f>
        <v>#N/A</v>
      </c>
      <c r="F119" s="38">
        <f>'GS DATA'!M119</f>
        <v>0</v>
      </c>
      <c r="G119" s="39" t="e">
        <f>VLOOKUP($F119,'GS 제품코드'!$A:$C,3,0)</f>
        <v>#N/A</v>
      </c>
      <c r="H119" s="40">
        <f>'GS DATA'!L119</f>
        <v>0</v>
      </c>
      <c r="I119" s="41">
        <f>'GS DATA'!Q119</f>
        <v>0</v>
      </c>
      <c r="J119" s="42">
        <f>'GS DATA'!S119</f>
        <v>0</v>
      </c>
      <c r="K119" s="43">
        <f t="shared" si="7"/>
        <v>0</v>
      </c>
    </row>
    <row r="120" spans="1:11" ht="15.6">
      <c r="A120" s="49">
        <f>'GS DATA'!X120</f>
        <v>0</v>
      </c>
      <c r="B120" s="4">
        <f>'GS DATA'!J120</f>
        <v>0</v>
      </c>
      <c r="C120" s="37" t="e">
        <f>VLOOKUP(B120,'GS 점포명'!A:B,2,0)</f>
        <v>#N/A</v>
      </c>
      <c r="D120" s="4">
        <f>'GS DATA'!J120</f>
        <v>0</v>
      </c>
      <c r="E120" s="37" t="e">
        <f>VLOOKUP(D120,'GS 점포명'!A:B,2,0)</f>
        <v>#N/A</v>
      </c>
      <c r="F120" s="38">
        <f>'GS DATA'!M120</f>
        <v>0</v>
      </c>
      <c r="G120" s="39" t="e">
        <f>VLOOKUP($F120,'GS 제품코드'!$A:$C,3,0)</f>
        <v>#N/A</v>
      </c>
      <c r="H120" s="40">
        <f>'GS DATA'!L120</f>
        <v>0</v>
      </c>
      <c r="I120" s="41">
        <f>'GS DATA'!Q120</f>
        <v>0</v>
      </c>
      <c r="J120" s="42">
        <f>'GS DATA'!S120</f>
        <v>0</v>
      </c>
      <c r="K120" s="43">
        <f t="shared" si="7"/>
        <v>0</v>
      </c>
    </row>
    <row r="121" spans="1:11" ht="15.6">
      <c r="A121" s="49">
        <f>'GS DATA'!X121</f>
        <v>0</v>
      </c>
      <c r="B121" s="4">
        <f>'GS DATA'!J121</f>
        <v>0</v>
      </c>
      <c r="C121" s="37" t="e">
        <f>VLOOKUP(B121,'GS 점포명'!A:B,2,0)</f>
        <v>#N/A</v>
      </c>
      <c r="D121" s="4">
        <f>'GS DATA'!J121</f>
        <v>0</v>
      </c>
      <c r="E121" s="37" t="e">
        <f>VLOOKUP(D121,'GS 점포명'!A:B,2,0)</f>
        <v>#N/A</v>
      </c>
      <c r="F121" s="38">
        <f>'GS DATA'!M121</f>
        <v>0</v>
      </c>
      <c r="G121" s="39" t="e">
        <f>VLOOKUP($F121,'GS 제품코드'!$A:$C,3,0)</f>
        <v>#N/A</v>
      </c>
      <c r="H121" s="40">
        <f>'GS DATA'!L121</f>
        <v>0</v>
      </c>
      <c r="I121" s="41">
        <f>'GS DATA'!Q121</f>
        <v>0</v>
      </c>
      <c r="J121" s="42">
        <f>'GS DATA'!S121</f>
        <v>0</v>
      </c>
      <c r="K121" s="43">
        <f t="shared" si="7"/>
        <v>0</v>
      </c>
    </row>
    <row r="122" spans="1:11" ht="15.6">
      <c r="A122" s="49">
        <f>'GS DATA'!X122</f>
        <v>0</v>
      </c>
      <c r="B122" s="4">
        <f>'GS DATA'!J122</f>
        <v>0</v>
      </c>
      <c r="C122" s="37" t="e">
        <f>VLOOKUP(B122,'GS 점포명'!A:B,2,0)</f>
        <v>#N/A</v>
      </c>
      <c r="D122" s="4">
        <f>'GS DATA'!J122</f>
        <v>0</v>
      </c>
      <c r="E122" s="37" t="e">
        <f>VLOOKUP(D122,'GS 점포명'!A:B,2,0)</f>
        <v>#N/A</v>
      </c>
      <c r="F122" s="38">
        <f>'GS DATA'!M122</f>
        <v>0</v>
      </c>
      <c r="G122" s="39" t="e">
        <f>VLOOKUP($F122,'GS 제품코드'!$A:$C,3,0)</f>
        <v>#N/A</v>
      </c>
      <c r="H122" s="40">
        <f>'GS DATA'!L122</f>
        <v>0</v>
      </c>
      <c r="I122" s="41">
        <f>'GS DATA'!Q122</f>
        <v>0</v>
      </c>
      <c r="J122" s="42">
        <f>'GS DATA'!S122</f>
        <v>0</v>
      </c>
      <c r="K122" s="43">
        <f t="shared" si="7"/>
        <v>0</v>
      </c>
    </row>
    <row r="123" spans="1:11" ht="15.6">
      <c r="A123" s="49">
        <f>'GS DATA'!X123</f>
        <v>0</v>
      </c>
      <c r="B123" s="4">
        <f>'GS DATA'!J123</f>
        <v>0</v>
      </c>
      <c r="C123" s="37" t="e">
        <f>VLOOKUP(B123,'GS 점포명'!A:B,2,0)</f>
        <v>#N/A</v>
      </c>
      <c r="D123" s="4">
        <f>'GS DATA'!J123</f>
        <v>0</v>
      </c>
      <c r="E123" s="37" t="e">
        <f>VLOOKUP(D123,'GS 점포명'!A:B,2,0)</f>
        <v>#N/A</v>
      </c>
      <c r="F123" s="38">
        <f>'GS DATA'!M123</f>
        <v>0</v>
      </c>
      <c r="G123" s="39" t="e">
        <f>VLOOKUP($F123,'GS 제품코드'!$A:$C,3,0)</f>
        <v>#N/A</v>
      </c>
      <c r="H123" s="40">
        <f>'GS DATA'!L123</f>
        <v>0</v>
      </c>
      <c r="I123" s="41">
        <f>'GS DATA'!Q123</f>
        <v>0</v>
      </c>
      <c r="J123" s="42">
        <f>'GS DATA'!S123</f>
        <v>0</v>
      </c>
      <c r="K123" s="43">
        <f t="shared" si="7"/>
        <v>0</v>
      </c>
    </row>
    <row r="124" spans="1:11" ht="15.6">
      <c r="A124" s="49">
        <f>'GS DATA'!X124</f>
        <v>0</v>
      </c>
      <c r="B124" s="4">
        <f>'GS DATA'!J124</f>
        <v>0</v>
      </c>
      <c r="C124" s="37" t="e">
        <f>VLOOKUP(B124,'GS 점포명'!A:B,2,0)</f>
        <v>#N/A</v>
      </c>
      <c r="D124" s="4">
        <f>'GS DATA'!J124</f>
        <v>0</v>
      </c>
      <c r="E124" s="37" t="e">
        <f>VLOOKUP(D124,'GS 점포명'!A:B,2,0)</f>
        <v>#N/A</v>
      </c>
      <c r="F124" s="38">
        <f>'GS DATA'!M124</f>
        <v>0</v>
      </c>
      <c r="G124" s="39" t="e">
        <f>VLOOKUP($F124,'GS 제품코드'!$A:$C,3,0)</f>
        <v>#N/A</v>
      </c>
      <c r="H124" s="40">
        <f>'GS DATA'!L124</f>
        <v>0</v>
      </c>
      <c r="I124" s="41">
        <f>'GS DATA'!Q124</f>
        <v>0</v>
      </c>
      <c r="J124" s="42">
        <f>'GS DATA'!S124</f>
        <v>0</v>
      </c>
      <c r="K124" s="43">
        <f t="shared" si="7"/>
        <v>0</v>
      </c>
    </row>
    <row r="125" spans="1:11" ht="15.6">
      <c r="A125" s="49">
        <f>'GS DATA'!X125</f>
        <v>0</v>
      </c>
      <c r="B125" s="4">
        <f>'GS DATA'!J125</f>
        <v>0</v>
      </c>
      <c r="C125" s="37" t="e">
        <f>VLOOKUP(B125,'GS 점포명'!A:B,2,0)</f>
        <v>#N/A</v>
      </c>
      <c r="D125" s="4">
        <f>'GS DATA'!J125</f>
        <v>0</v>
      </c>
      <c r="E125" s="37" t="e">
        <f>VLOOKUP(D125,'GS 점포명'!A:B,2,0)</f>
        <v>#N/A</v>
      </c>
      <c r="F125" s="38">
        <f>'GS DATA'!M125</f>
        <v>0</v>
      </c>
      <c r="G125" s="39" t="e">
        <f>VLOOKUP($F125,'GS 제품코드'!$A:$C,3,0)</f>
        <v>#N/A</v>
      </c>
      <c r="H125" s="40">
        <f>'GS DATA'!L125</f>
        <v>0</v>
      </c>
      <c r="I125" s="41">
        <f>'GS DATA'!Q125</f>
        <v>0</v>
      </c>
      <c r="J125" s="42">
        <f>'GS DATA'!S125</f>
        <v>0</v>
      </c>
      <c r="K125" s="43">
        <f t="shared" si="7"/>
        <v>0</v>
      </c>
    </row>
    <row r="126" spans="1:11" ht="15.6">
      <c r="A126" s="49">
        <f>'GS DATA'!X126</f>
        <v>0</v>
      </c>
      <c r="B126" s="4">
        <f>'GS DATA'!J126</f>
        <v>0</v>
      </c>
      <c r="C126" s="37" t="e">
        <f>VLOOKUP(B126,'GS 점포명'!A:B,2,0)</f>
        <v>#N/A</v>
      </c>
      <c r="D126" s="4">
        <f>'GS DATA'!J126</f>
        <v>0</v>
      </c>
      <c r="E126" s="37" t="e">
        <f>VLOOKUP(D126,'GS 점포명'!A:B,2,0)</f>
        <v>#N/A</v>
      </c>
      <c r="F126" s="38">
        <f>'GS DATA'!M126</f>
        <v>0</v>
      </c>
      <c r="G126" s="39" t="e">
        <f>VLOOKUP($F126,'GS 제품코드'!$A:$C,3,0)</f>
        <v>#N/A</v>
      </c>
      <c r="H126" s="40">
        <f>'GS DATA'!L126</f>
        <v>0</v>
      </c>
      <c r="I126" s="41">
        <f>'GS DATA'!Q126</f>
        <v>0</v>
      </c>
      <c r="J126" s="42">
        <f>'GS DATA'!S126</f>
        <v>0</v>
      </c>
      <c r="K126" s="43">
        <f t="shared" si="7"/>
        <v>0</v>
      </c>
    </row>
    <row r="127" spans="1:11" ht="15.6">
      <c r="A127" s="49">
        <f>'GS DATA'!X127</f>
        <v>0</v>
      </c>
      <c r="B127" s="4">
        <f>'GS DATA'!J127</f>
        <v>0</v>
      </c>
      <c r="C127" s="37" t="e">
        <f>VLOOKUP(B127,'GS 점포명'!A:B,2,0)</f>
        <v>#N/A</v>
      </c>
      <c r="D127" s="4">
        <f>'GS DATA'!J127</f>
        <v>0</v>
      </c>
      <c r="E127" s="37" t="e">
        <f>VLOOKUP(D127,'GS 점포명'!A:B,2,0)</f>
        <v>#N/A</v>
      </c>
      <c r="F127" s="38">
        <f>'GS DATA'!M127</f>
        <v>0</v>
      </c>
      <c r="G127" s="39" t="e">
        <f>VLOOKUP($F127,'GS 제품코드'!$A:$C,3,0)</f>
        <v>#N/A</v>
      </c>
      <c r="H127" s="40">
        <f>'GS DATA'!L127</f>
        <v>0</v>
      </c>
      <c r="I127" s="41">
        <f>'GS DATA'!Q127</f>
        <v>0</v>
      </c>
      <c r="J127" s="42">
        <f>'GS DATA'!S127</f>
        <v>0</v>
      </c>
      <c r="K127" s="43">
        <f t="shared" si="7"/>
        <v>0</v>
      </c>
    </row>
    <row r="128" spans="1:11" ht="15.6">
      <c r="A128" s="49">
        <f>'GS DATA'!X128</f>
        <v>0</v>
      </c>
      <c r="B128" s="4">
        <f>'GS DATA'!J128</f>
        <v>0</v>
      </c>
      <c r="C128" s="37" t="e">
        <f>VLOOKUP(B128,'GS 점포명'!A:B,2,0)</f>
        <v>#N/A</v>
      </c>
      <c r="D128" s="4">
        <f>'GS DATA'!J128</f>
        <v>0</v>
      </c>
      <c r="E128" s="37" t="e">
        <f>VLOOKUP(D128,'GS 점포명'!A:B,2,0)</f>
        <v>#N/A</v>
      </c>
      <c r="F128" s="38">
        <f>'GS DATA'!M128</f>
        <v>0</v>
      </c>
      <c r="G128" s="39" t="e">
        <f>VLOOKUP($F128,'GS 제품코드'!$A:$C,3,0)</f>
        <v>#N/A</v>
      </c>
      <c r="H128" s="40">
        <f>'GS DATA'!L128</f>
        <v>0</v>
      </c>
      <c r="I128" s="41">
        <f>'GS DATA'!Q128</f>
        <v>0</v>
      </c>
      <c r="J128" s="42">
        <f>'GS DATA'!S128</f>
        <v>0</v>
      </c>
      <c r="K128" s="43">
        <f t="shared" si="7"/>
        <v>0</v>
      </c>
    </row>
    <row r="129" spans="1:11" ht="15.6">
      <c r="A129" s="49">
        <f>'GS DATA'!X129</f>
        <v>0</v>
      </c>
      <c r="B129" s="4">
        <f>'GS DATA'!J129</f>
        <v>0</v>
      </c>
      <c r="C129" s="37" t="e">
        <f>VLOOKUP(B129,'GS 점포명'!A:B,2,0)</f>
        <v>#N/A</v>
      </c>
      <c r="D129" s="4">
        <f>'GS DATA'!J129</f>
        <v>0</v>
      </c>
      <c r="E129" s="37" t="e">
        <f>VLOOKUP(D129,'GS 점포명'!A:B,2,0)</f>
        <v>#N/A</v>
      </c>
      <c r="F129" s="38">
        <f>'GS DATA'!M129</f>
        <v>0</v>
      </c>
      <c r="G129" s="39" t="e">
        <f>VLOOKUP($F129,'GS 제품코드'!$A:$C,3,0)</f>
        <v>#N/A</v>
      </c>
      <c r="H129" s="40">
        <f>'GS DATA'!L129</f>
        <v>0</v>
      </c>
      <c r="I129" s="41">
        <f>'GS DATA'!Q129</f>
        <v>0</v>
      </c>
      <c r="J129" s="42">
        <f>'GS DATA'!S129</f>
        <v>0</v>
      </c>
      <c r="K129" s="43">
        <f t="shared" si="7"/>
        <v>0</v>
      </c>
    </row>
    <row r="130" spans="1:11" ht="15.6">
      <c r="A130" s="49">
        <f>'GS DATA'!X130</f>
        <v>0</v>
      </c>
      <c r="B130" s="4">
        <f>'GS DATA'!J130</f>
        <v>0</v>
      </c>
      <c r="C130" s="37" t="e">
        <f>VLOOKUP(B130,'GS 점포명'!A:B,2,0)</f>
        <v>#N/A</v>
      </c>
      <c r="D130" s="4">
        <f>'GS DATA'!J130</f>
        <v>0</v>
      </c>
      <c r="E130" s="37" t="e">
        <f>VLOOKUP(D130,'GS 점포명'!A:B,2,0)</f>
        <v>#N/A</v>
      </c>
      <c r="F130" s="38">
        <f>'GS DATA'!M130</f>
        <v>0</v>
      </c>
      <c r="G130" s="39" t="e">
        <f>VLOOKUP($F130,'GS 제품코드'!$A:$C,3,0)</f>
        <v>#N/A</v>
      </c>
      <c r="H130" s="40">
        <f>'GS DATA'!L130</f>
        <v>0</v>
      </c>
      <c r="I130" s="41">
        <f>'GS DATA'!Q130</f>
        <v>0</v>
      </c>
      <c r="J130" s="42">
        <f>'GS DATA'!S130</f>
        <v>0</v>
      </c>
      <c r="K130" s="43">
        <f t="shared" si="7"/>
        <v>0</v>
      </c>
    </row>
    <row r="131" spans="1:11" ht="15.6">
      <c r="A131" s="49">
        <f>'GS DATA'!X131</f>
        <v>0</v>
      </c>
      <c r="B131" s="4">
        <f>'GS DATA'!J131</f>
        <v>0</v>
      </c>
      <c r="C131" s="37" t="e">
        <f>VLOOKUP(B131,'GS 점포명'!A:B,2,0)</f>
        <v>#N/A</v>
      </c>
      <c r="D131" s="4">
        <f>'GS DATA'!J131</f>
        <v>0</v>
      </c>
      <c r="E131" s="37" t="e">
        <f>VLOOKUP(D131,'GS 점포명'!A:B,2,0)</f>
        <v>#N/A</v>
      </c>
      <c r="F131" s="38">
        <f>'GS DATA'!M131</f>
        <v>0</v>
      </c>
      <c r="G131" s="39" t="e">
        <f>VLOOKUP($F131,'GS 제품코드'!$A:$C,3,0)</f>
        <v>#N/A</v>
      </c>
      <c r="H131" s="40">
        <f>'GS DATA'!L131</f>
        <v>0</v>
      </c>
      <c r="I131" s="41">
        <f>'GS DATA'!Q131</f>
        <v>0</v>
      </c>
      <c r="J131" s="42">
        <f>'GS DATA'!S131</f>
        <v>0</v>
      </c>
      <c r="K131" s="43">
        <f t="shared" si="7"/>
        <v>0</v>
      </c>
    </row>
    <row r="132" spans="1:11" ht="15.6">
      <c r="A132" s="49">
        <f>'GS DATA'!X132</f>
        <v>0</v>
      </c>
      <c r="B132" s="4">
        <f>'GS DATA'!J132</f>
        <v>0</v>
      </c>
      <c r="C132" s="37" t="e">
        <f>VLOOKUP(B132,'GS 점포명'!A:B,2,0)</f>
        <v>#N/A</v>
      </c>
      <c r="D132" s="4">
        <f>'GS DATA'!J132</f>
        <v>0</v>
      </c>
      <c r="E132" s="37" t="e">
        <f>VLOOKUP(D132,'GS 점포명'!A:B,2,0)</f>
        <v>#N/A</v>
      </c>
      <c r="F132" s="38">
        <f>'GS DATA'!M132</f>
        <v>0</v>
      </c>
      <c r="G132" s="39" t="e">
        <f>VLOOKUP($F132,'GS 제품코드'!$A:$C,3,0)</f>
        <v>#N/A</v>
      </c>
      <c r="H132" s="40">
        <f>'GS DATA'!L132</f>
        <v>0</v>
      </c>
      <c r="I132" s="41">
        <f>'GS DATA'!Q132</f>
        <v>0</v>
      </c>
      <c r="J132" s="42">
        <f>'GS DATA'!S132</f>
        <v>0</v>
      </c>
      <c r="K132" s="43">
        <f t="shared" si="7"/>
        <v>0</v>
      </c>
    </row>
    <row r="133" spans="1:11" ht="15.6">
      <c r="A133" s="49">
        <f>'GS DATA'!X133</f>
        <v>0</v>
      </c>
      <c r="B133" s="4">
        <f>'GS DATA'!J133</f>
        <v>0</v>
      </c>
      <c r="C133" s="37" t="e">
        <f>VLOOKUP(B133,'GS 점포명'!A:B,2,0)</f>
        <v>#N/A</v>
      </c>
      <c r="D133" s="4">
        <f>'GS DATA'!J133</f>
        <v>0</v>
      </c>
      <c r="E133" s="37" t="e">
        <f>VLOOKUP(D133,'GS 점포명'!A:B,2,0)</f>
        <v>#N/A</v>
      </c>
      <c r="F133" s="38">
        <f>'GS DATA'!M133</f>
        <v>0</v>
      </c>
      <c r="G133" s="39" t="e">
        <f>VLOOKUP($F133,'GS 제품코드'!$A:$C,3,0)</f>
        <v>#N/A</v>
      </c>
      <c r="H133" s="40">
        <f>'GS DATA'!L133</f>
        <v>0</v>
      </c>
      <c r="I133" s="41">
        <f>'GS DATA'!Q133</f>
        <v>0</v>
      </c>
      <c r="J133" s="42">
        <f>'GS DATA'!S133</f>
        <v>0</v>
      </c>
      <c r="K133" s="43">
        <f t="shared" si="7"/>
        <v>0</v>
      </c>
    </row>
    <row r="134" spans="1:11" ht="15.6">
      <c r="A134" s="49">
        <f>'GS DATA'!X134</f>
        <v>0</v>
      </c>
      <c r="B134" s="4">
        <f>'GS DATA'!J134</f>
        <v>0</v>
      </c>
      <c r="C134" s="37" t="e">
        <f>VLOOKUP(B134,'GS 점포명'!A:B,2,0)</f>
        <v>#N/A</v>
      </c>
      <c r="D134" s="4">
        <f>'GS DATA'!J134</f>
        <v>0</v>
      </c>
      <c r="E134" s="37" t="e">
        <f>VLOOKUP(D134,'GS 점포명'!A:B,2,0)</f>
        <v>#N/A</v>
      </c>
      <c r="F134" s="38">
        <f>'GS DATA'!M134</f>
        <v>0</v>
      </c>
      <c r="G134" s="39" t="e">
        <f>VLOOKUP($F134,'GS 제품코드'!$A:$C,3,0)</f>
        <v>#N/A</v>
      </c>
      <c r="H134" s="40">
        <f>'GS DATA'!L134</f>
        <v>0</v>
      </c>
      <c r="I134" s="41">
        <f>'GS DATA'!Q134</f>
        <v>0</v>
      </c>
      <c r="J134" s="42">
        <f>'GS DATA'!S134</f>
        <v>0</v>
      </c>
      <c r="K134" s="43">
        <f t="shared" si="7"/>
        <v>0</v>
      </c>
    </row>
    <row r="135" spans="1:11" ht="15.6">
      <c r="A135" s="49">
        <f>'GS DATA'!X135</f>
        <v>0</v>
      </c>
      <c r="B135" s="4">
        <f>'GS DATA'!J135</f>
        <v>0</v>
      </c>
      <c r="C135" s="37" t="e">
        <f>VLOOKUP(B135,'GS 점포명'!A:B,2,0)</f>
        <v>#N/A</v>
      </c>
      <c r="D135" s="4">
        <f>'GS DATA'!J135</f>
        <v>0</v>
      </c>
      <c r="E135" s="37" t="e">
        <f>VLOOKUP(D135,'GS 점포명'!A:B,2,0)</f>
        <v>#N/A</v>
      </c>
      <c r="F135" s="38">
        <f>'GS DATA'!M135</f>
        <v>0</v>
      </c>
      <c r="G135" s="39" t="e">
        <f>VLOOKUP($F135,'GS 제품코드'!$A:$C,3,0)</f>
        <v>#N/A</v>
      </c>
      <c r="H135" s="40">
        <f>'GS DATA'!L135</f>
        <v>0</v>
      </c>
      <c r="I135" s="41">
        <f>'GS DATA'!Q135</f>
        <v>0</v>
      </c>
      <c r="J135" s="42">
        <f>'GS DATA'!S135</f>
        <v>0</v>
      </c>
      <c r="K135" s="43">
        <f t="shared" si="7"/>
        <v>0</v>
      </c>
    </row>
    <row r="136" spans="1:11" ht="15.6">
      <c r="A136" s="49">
        <f>'GS DATA'!X136</f>
        <v>0</v>
      </c>
      <c r="B136" s="4">
        <f>'GS DATA'!J136</f>
        <v>0</v>
      </c>
      <c r="C136" s="37" t="e">
        <f>VLOOKUP(B136,'GS 점포명'!A:B,2,0)</f>
        <v>#N/A</v>
      </c>
      <c r="D136" s="4">
        <f>'GS DATA'!J136</f>
        <v>0</v>
      </c>
      <c r="E136" s="37" t="e">
        <f>VLOOKUP(D136,'GS 점포명'!A:B,2,0)</f>
        <v>#N/A</v>
      </c>
      <c r="F136" s="38">
        <f>'GS DATA'!M136</f>
        <v>0</v>
      </c>
      <c r="G136" s="39" t="e">
        <f>VLOOKUP($F136,'GS 제품코드'!$A:$C,3,0)</f>
        <v>#N/A</v>
      </c>
      <c r="H136" s="40">
        <f>'GS DATA'!L136</f>
        <v>0</v>
      </c>
      <c r="I136" s="41">
        <f>'GS DATA'!Q136</f>
        <v>0</v>
      </c>
      <c r="J136" s="42">
        <f>'GS DATA'!S136</f>
        <v>0</v>
      </c>
      <c r="K136" s="43">
        <f t="shared" si="7"/>
        <v>0</v>
      </c>
    </row>
    <row r="137" spans="1:11" ht="15.6">
      <c r="A137" s="49">
        <f>'GS DATA'!X137</f>
        <v>0</v>
      </c>
      <c r="B137" s="4">
        <f>'GS DATA'!J137</f>
        <v>0</v>
      </c>
      <c r="C137" s="37" t="e">
        <f>VLOOKUP(B137,'GS 점포명'!A:B,2,0)</f>
        <v>#N/A</v>
      </c>
      <c r="D137" s="4">
        <f>'GS DATA'!J137</f>
        <v>0</v>
      </c>
      <c r="E137" s="37" t="e">
        <f>VLOOKUP(D137,'GS 점포명'!A:B,2,0)</f>
        <v>#N/A</v>
      </c>
      <c r="F137" s="38">
        <f>'GS DATA'!M137</f>
        <v>0</v>
      </c>
      <c r="G137" s="39" t="e">
        <f>VLOOKUP($F137,'GS 제품코드'!$A:$C,3,0)</f>
        <v>#N/A</v>
      </c>
      <c r="H137" s="40">
        <f>'GS DATA'!L137</f>
        <v>0</v>
      </c>
      <c r="I137" s="41">
        <f>'GS DATA'!Q137</f>
        <v>0</v>
      </c>
      <c r="J137" s="42">
        <f>'GS DATA'!S137</f>
        <v>0</v>
      </c>
      <c r="K137" s="43">
        <f t="shared" si="7"/>
        <v>0</v>
      </c>
    </row>
    <row r="138" spans="1:11" ht="15.6">
      <c r="A138" s="49">
        <f>'GS DATA'!X138</f>
        <v>0</v>
      </c>
      <c r="B138" s="4">
        <f>'GS DATA'!J138</f>
        <v>0</v>
      </c>
      <c r="C138" s="37" t="e">
        <f>VLOOKUP(B138,'GS 점포명'!A:B,2,0)</f>
        <v>#N/A</v>
      </c>
      <c r="D138" s="4">
        <f>'GS DATA'!J138</f>
        <v>0</v>
      </c>
      <c r="E138" s="37" t="e">
        <f>VLOOKUP(D138,'GS 점포명'!A:B,2,0)</f>
        <v>#N/A</v>
      </c>
      <c r="F138" s="38">
        <f>'GS DATA'!M138</f>
        <v>0</v>
      </c>
      <c r="G138" s="39" t="e">
        <f>VLOOKUP($F138,'GS 제품코드'!$A:$C,3,0)</f>
        <v>#N/A</v>
      </c>
      <c r="H138" s="40">
        <f>'GS DATA'!L138</f>
        <v>0</v>
      </c>
      <c r="I138" s="41">
        <f>'GS DATA'!Q138</f>
        <v>0</v>
      </c>
      <c r="J138" s="42">
        <f>'GS DATA'!S138</f>
        <v>0</v>
      </c>
      <c r="K138" s="43">
        <f t="shared" si="7"/>
        <v>0</v>
      </c>
    </row>
    <row r="139" spans="1:11" ht="15.6">
      <c r="A139" s="49">
        <f>'GS DATA'!X139</f>
        <v>0</v>
      </c>
      <c r="B139" s="4">
        <f>'GS DATA'!J139</f>
        <v>0</v>
      </c>
      <c r="C139" s="37" t="e">
        <f>VLOOKUP(B139,'GS 점포명'!A:B,2,0)</f>
        <v>#N/A</v>
      </c>
      <c r="D139" s="4">
        <f>'GS DATA'!J139</f>
        <v>0</v>
      </c>
      <c r="E139" s="37" t="e">
        <f>VLOOKUP(D139,'GS 점포명'!A:B,2,0)</f>
        <v>#N/A</v>
      </c>
      <c r="F139" s="38">
        <f>'GS DATA'!M139</f>
        <v>0</v>
      </c>
      <c r="G139" s="39" t="e">
        <f>VLOOKUP($F139,'GS 제품코드'!$A:$C,3,0)</f>
        <v>#N/A</v>
      </c>
      <c r="H139" s="40">
        <f>'GS DATA'!L139</f>
        <v>0</v>
      </c>
      <c r="I139" s="41">
        <f>'GS DATA'!Q139</f>
        <v>0</v>
      </c>
      <c r="J139" s="42">
        <f>'GS DATA'!S139</f>
        <v>0</v>
      </c>
      <c r="K139" s="43">
        <f t="shared" si="7"/>
        <v>0</v>
      </c>
    </row>
    <row r="140" spans="1:11" ht="15.6">
      <c r="A140" s="49">
        <f>'GS DATA'!X140</f>
        <v>0</v>
      </c>
      <c r="B140" s="4">
        <f>'GS DATA'!J140</f>
        <v>0</v>
      </c>
      <c r="C140" s="37" t="e">
        <f>VLOOKUP(B140,'GS 점포명'!A:B,2,0)</f>
        <v>#N/A</v>
      </c>
      <c r="D140" s="4">
        <f>'GS DATA'!J140</f>
        <v>0</v>
      </c>
      <c r="E140" s="37" t="e">
        <f>VLOOKUP(D140,'GS 점포명'!A:B,2,0)</f>
        <v>#N/A</v>
      </c>
      <c r="F140" s="38">
        <f>'GS DATA'!M140</f>
        <v>0</v>
      </c>
      <c r="G140" s="39" t="e">
        <f>VLOOKUP($F140,'GS 제품코드'!$A:$C,3,0)</f>
        <v>#N/A</v>
      </c>
      <c r="H140" s="40">
        <f>'GS DATA'!L140</f>
        <v>0</v>
      </c>
      <c r="I140" s="41">
        <f>'GS DATA'!Q140</f>
        <v>0</v>
      </c>
      <c r="J140" s="42">
        <f>'GS DATA'!S140</f>
        <v>0</v>
      </c>
      <c r="K140" s="43">
        <f t="shared" si="7"/>
        <v>0</v>
      </c>
    </row>
    <row r="141" spans="1:11" ht="15.6">
      <c r="A141" s="49">
        <f>'GS DATA'!X141</f>
        <v>0</v>
      </c>
      <c r="B141" s="4">
        <f>'GS DATA'!J141</f>
        <v>0</v>
      </c>
      <c r="C141" s="37" t="e">
        <f>VLOOKUP(B141,'GS 점포명'!A:B,2,0)</f>
        <v>#N/A</v>
      </c>
      <c r="D141" s="4">
        <f>'GS DATA'!J141</f>
        <v>0</v>
      </c>
      <c r="E141" s="37" t="e">
        <f>VLOOKUP(D141,'GS 점포명'!A:B,2,0)</f>
        <v>#N/A</v>
      </c>
      <c r="F141" s="38">
        <f>'GS DATA'!M141</f>
        <v>0</v>
      </c>
      <c r="G141" s="39" t="e">
        <f>VLOOKUP($F141,'GS 제품코드'!$A:$C,3,0)</f>
        <v>#N/A</v>
      </c>
      <c r="H141" s="40">
        <f>'GS DATA'!L141</f>
        <v>0</v>
      </c>
      <c r="I141" s="41">
        <f>'GS DATA'!Q141</f>
        <v>0</v>
      </c>
      <c r="J141" s="42">
        <f>'GS DATA'!S141</f>
        <v>0</v>
      </c>
      <c r="K141" s="43">
        <f t="shared" si="7"/>
        <v>0</v>
      </c>
    </row>
    <row r="142" spans="1:11" ht="15.6">
      <c r="A142" s="49">
        <f>'GS DATA'!X142</f>
        <v>0</v>
      </c>
      <c r="B142" s="4">
        <f>'GS DATA'!J142</f>
        <v>0</v>
      </c>
      <c r="C142" s="37" t="e">
        <f>VLOOKUP(B142,'GS 점포명'!A:B,2,0)</f>
        <v>#N/A</v>
      </c>
      <c r="D142" s="4">
        <f>'GS DATA'!J142</f>
        <v>0</v>
      </c>
      <c r="E142" s="37" t="e">
        <f>VLOOKUP(D142,'GS 점포명'!A:B,2,0)</f>
        <v>#N/A</v>
      </c>
      <c r="F142" s="38">
        <f>'GS DATA'!M142</f>
        <v>0</v>
      </c>
      <c r="G142" s="39" t="e">
        <f>VLOOKUP($F142,'GS 제품코드'!$A:$C,3,0)</f>
        <v>#N/A</v>
      </c>
      <c r="H142" s="40">
        <f>'GS DATA'!L142</f>
        <v>0</v>
      </c>
      <c r="I142" s="41">
        <f>'GS DATA'!Q142</f>
        <v>0</v>
      </c>
      <c r="J142" s="42">
        <f>'GS DATA'!S142</f>
        <v>0</v>
      </c>
      <c r="K142" s="43">
        <f t="shared" si="7"/>
        <v>0</v>
      </c>
    </row>
    <row r="143" spans="1:11" ht="15.6">
      <c r="A143" s="49">
        <f>'GS DATA'!X143</f>
        <v>0</v>
      </c>
      <c r="B143" s="4">
        <f>'GS DATA'!J143</f>
        <v>0</v>
      </c>
      <c r="C143" s="37" t="e">
        <f>VLOOKUP(B143,'GS 점포명'!A:B,2,0)</f>
        <v>#N/A</v>
      </c>
      <c r="D143" s="4">
        <f>'GS DATA'!J143</f>
        <v>0</v>
      </c>
      <c r="E143" s="37" t="e">
        <f>VLOOKUP(D143,'GS 점포명'!A:B,2,0)</f>
        <v>#N/A</v>
      </c>
      <c r="F143" s="38">
        <f>'GS DATA'!M143</f>
        <v>0</v>
      </c>
      <c r="G143" s="39" t="e">
        <f>VLOOKUP($F143,'GS 제품코드'!$A:$C,3,0)</f>
        <v>#N/A</v>
      </c>
      <c r="H143" s="40">
        <f>'GS DATA'!L143</f>
        <v>0</v>
      </c>
      <c r="I143" s="41">
        <f>'GS DATA'!Q143</f>
        <v>0</v>
      </c>
      <c r="J143" s="42">
        <f>'GS DATA'!S143</f>
        <v>0</v>
      </c>
      <c r="K143" s="43">
        <f t="shared" si="7"/>
        <v>0</v>
      </c>
    </row>
    <row r="144" spans="1:11" ht="15.6">
      <c r="A144" s="49">
        <f>'GS DATA'!X144</f>
        <v>0</v>
      </c>
      <c r="B144" s="4">
        <f>'GS DATA'!J144</f>
        <v>0</v>
      </c>
      <c r="C144" s="37" t="e">
        <f>VLOOKUP(B144,'GS 점포명'!A:B,2,0)</f>
        <v>#N/A</v>
      </c>
      <c r="D144" s="4">
        <f>'GS DATA'!J144</f>
        <v>0</v>
      </c>
      <c r="E144" s="37" t="e">
        <f>VLOOKUP(D144,'GS 점포명'!A:B,2,0)</f>
        <v>#N/A</v>
      </c>
      <c r="F144" s="38">
        <f>'GS DATA'!M144</f>
        <v>0</v>
      </c>
      <c r="G144" s="39" t="e">
        <f>VLOOKUP($F144,'GS 제품코드'!$A:$C,3,0)</f>
        <v>#N/A</v>
      </c>
      <c r="H144" s="40">
        <f>'GS DATA'!L144</f>
        <v>0</v>
      </c>
      <c r="I144" s="41">
        <f>'GS DATA'!Q144</f>
        <v>0</v>
      </c>
      <c r="J144" s="42">
        <f>'GS DATA'!S144</f>
        <v>0</v>
      </c>
      <c r="K144" s="43">
        <f t="shared" si="7"/>
        <v>0</v>
      </c>
    </row>
    <row r="145" spans="1:11" ht="15.6">
      <c r="A145" s="49">
        <f>'GS DATA'!X145</f>
        <v>0</v>
      </c>
      <c r="B145" s="4">
        <f>'GS DATA'!J145</f>
        <v>0</v>
      </c>
      <c r="C145" s="37" t="e">
        <f>VLOOKUP(B145,'GS 점포명'!A:B,2,0)</f>
        <v>#N/A</v>
      </c>
      <c r="D145" s="4">
        <f>'GS DATA'!J145</f>
        <v>0</v>
      </c>
      <c r="E145" s="37" t="e">
        <f>VLOOKUP(D145,'GS 점포명'!A:B,2,0)</f>
        <v>#N/A</v>
      </c>
      <c r="F145" s="38">
        <f>'GS DATA'!M145</f>
        <v>0</v>
      </c>
      <c r="G145" s="39" t="e">
        <f>VLOOKUP($F145,'GS 제품코드'!$A:$C,3,0)</f>
        <v>#N/A</v>
      </c>
      <c r="H145" s="40">
        <f>'GS DATA'!L145</f>
        <v>0</v>
      </c>
      <c r="I145" s="41">
        <f>'GS DATA'!Q145</f>
        <v>0</v>
      </c>
      <c r="J145" s="42">
        <f>'GS DATA'!S145</f>
        <v>0</v>
      </c>
      <c r="K145" s="43">
        <f t="shared" si="7"/>
        <v>0</v>
      </c>
    </row>
    <row r="146" spans="1:11" ht="15.6">
      <c r="A146" s="49">
        <f>'GS DATA'!X146</f>
        <v>0</v>
      </c>
      <c r="B146" s="4">
        <f>'GS DATA'!J146</f>
        <v>0</v>
      </c>
      <c r="C146" s="37" t="e">
        <f>VLOOKUP(B146,'GS 점포명'!A:B,2,0)</f>
        <v>#N/A</v>
      </c>
      <c r="D146" s="4">
        <f>'GS DATA'!J146</f>
        <v>0</v>
      </c>
      <c r="E146" s="37" t="e">
        <f>VLOOKUP(D146,'GS 점포명'!A:B,2,0)</f>
        <v>#N/A</v>
      </c>
      <c r="F146" s="38">
        <f>'GS DATA'!M146</f>
        <v>0</v>
      </c>
      <c r="G146" s="39" t="e">
        <f>VLOOKUP($F146,'GS 제품코드'!$A:$C,3,0)</f>
        <v>#N/A</v>
      </c>
      <c r="H146" s="40">
        <f>'GS DATA'!L146</f>
        <v>0</v>
      </c>
      <c r="I146" s="41">
        <f>'GS DATA'!Q146</f>
        <v>0</v>
      </c>
      <c r="J146" s="42">
        <f>'GS DATA'!S146</f>
        <v>0</v>
      </c>
      <c r="K146" s="43">
        <f t="shared" si="7"/>
        <v>0</v>
      </c>
    </row>
    <row r="147" spans="1:11" ht="15.6">
      <c r="A147" s="49">
        <f>'GS DATA'!X147</f>
        <v>0</v>
      </c>
      <c r="B147" s="4">
        <f>'GS DATA'!J147</f>
        <v>0</v>
      </c>
      <c r="C147" s="37" t="e">
        <f>VLOOKUP(B147,'GS 점포명'!A:B,2,0)</f>
        <v>#N/A</v>
      </c>
      <c r="D147" s="4">
        <f>'GS DATA'!J147</f>
        <v>0</v>
      </c>
      <c r="E147" s="37" t="e">
        <f>VLOOKUP(D147,'GS 점포명'!A:B,2,0)</f>
        <v>#N/A</v>
      </c>
      <c r="F147" s="38">
        <f>'GS DATA'!M147</f>
        <v>0</v>
      </c>
      <c r="G147" s="39" t="e">
        <f>VLOOKUP($F147,'GS 제품코드'!$A:$C,3,0)</f>
        <v>#N/A</v>
      </c>
      <c r="H147" s="40">
        <f>'GS DATA'!L147</f>
        <v>0</v>
      </c>
      <c r="I147" s="41">
        <f>'GS DATA'!Q147</f>
        <v>0</v>
      </c>
      <c r="J147" s="42">
        <f>'GS DATA'!S147</f>
        <v>0</v>
      </c>
      <c r="K147" s="43">
        <f t="shared" si="7"/>
        <v>0</v>
      </c>
    </row>
    <row r="148" spans="1:11" ht="15.6">
      <c r="A148" s="49">
        <f>'GS DATA'!X148</f>
        <v>0</v>
      </c>
      <c r="B148" s="4">
        <f>'GS DATA'!J148</f>
        <v>0</v>
      </c>
      <c r="C148" s="37" t="e">
        <f>VLOOKUP(B148,'GS 점포명'!A:B,2,0)</f>
        <v>#N/A</v>
      </c>
      <c r="D148" s="4">
        <f>'GS DATA'!J148</f>
        <v>0</v>
      </c>
      <c r="E148" s="37" t="e">
        <f>VLOOKUP(D148,'GS 점포명'!A:B,2,0)</f>
        <v>#N/A</v>
      </c>
      <c r="F148" s="38">
        <f>'GS DATA'!M148</f>
        <v>0</v>
      </c>
      <c r="G148" s="39" t="e">
        <f>VLOOKUP($F148,'GS 제품코드'!$A:$C,3,0)</f>
        <v>#N/A</v>
      </c>
      <c r="H148" s="40">
        <f>'GS DATA'!L148</f>
        <v>0</v>
      </c>
      <c r="I148" s="41">
        <f>'GS DATA'!Q148</f>
        <v>0</v>
      </c>
      <c r="J148" s="42">
        <f>'GS DATA'!S148</f>
        <v>0</v>
      </c>
      <c r="K148" s="43">
        <f t="shared" si="7"/>
        <v>0</v>
      </c>
    </row>
    <row r="149" spans="1:11" ht="15.6">
      <c r="A149" s="49">
        <f>'GS DATA'!X149</f>
        <v>0</v>
      </c>
      <c r="B149" s="4">
        <f>'GS DATA'!J149</f>
        <v>0</v>
      </c>
      <c r="C149" s="37" t="e">
        <f>VLOOKUP(B149,'GS 점포명'!A:B,2,0)</f>
        <v>#N/A</v>
      </c>
      <c r="D149" s="4">
        <f>'GS DATA'!J149</f>
        <v>0</v>
      </c>
      <c r="E149" s="37" t="e">
        <f>VLOOKUP(D149,'GS 점포명'!A:B,2,0)</f>
        <v>#N/A</v>
      </c>
      <c r="F149" s="38">
        <f>'GS DATA'!M149</f>
        <v>0</v>
      </c>
      <c r="G149" s="39" t="e">
        <f>VLOOKUP($F149,'GS 제품코드'!$A:$C,3,0)</f>
        <v>#N/A</v>
      </c>
      <c r="H149" s="40">
        <f>'GS DATA'!L149</f>
        <v>0</v>
      </c>
      <c r="I149" s="41">
        <f>'GS DATA'!Q149</f>
        <v>0</v>
      </c>
      <c r="J149" s="42">
        <f>'GS DATA'!S149</f>
        <v>0</v>
      </c>
      <c r="K149" s="43">
        <f t="shared" si="7"/>
        <v>0</v>
      </c>
    </row>
    <row r="150" spans="1:11" ht="15.6">
      <c r="A150" s="49">
        <f>'GS DATA'!X150</f>
        <v>0</v>
      </c>
      <c r="B150" s="4">
        <f>'GS DATA'!J150</f>
        <v>0</v>
      </c>
      <c r="C150" s="37" t="e">
        <f>VLOOKUP(B150,'GS 점포명'!A:B,2,0)</f>
        <v>#N/A</v>
      </c>
      <c r="D150" s="4">
        <f>'GS DATA'!J150</f>
        <v>0</v>
      </c>
      <c r="E150" s="37" t="e">
        <f>VLOOKUP(D150,'GS 점포명'!A:B,2,0)</f>
        <v>#N/A</v>
      </c>
      <c r="F150" s="38">
        <f>'GS DATA'!M150</f>
        <v>0</v>
      </c>
      <c r="G150" s="39" t="e">
        <f>VLOOKUP($F150,'GS 제품코드'!$A:$C,3,0)</f>
        <v>#N/A</v>
      </c>
      <c r="H150" s="40">
        <f>'GS DATA'!L150</f>
        <v>0</v>
      </c>
      <c r="I150" s="41">
        <f>'GS DATA'!Q150</f>
        <v>0</v>
      </c>
      <c r="J150" s="42">
        <f>'GS DATA'!S150</f>
        <v>0</v>
      </c>
      <c r="K150" s="43">
        <f t="shared" si="7"/>
        <v>0</v>
      </c>
    </row>
    <row r="151" spans="1:11" ht="15.6">
      <c r="A151" s="49">
        <f>'GS DATA'!X151</f>
        <v>0</v>
      </c>
      <c r="B151" s="4">
        <f>'GS DATA'!J151</f>
        <v>0</v>
      </c>
      <c r="C151" s="37" t="e">
        <f>VLOOKUP(B151,'GS 점포명'!A:B,2,0)</f>
        <v>#N/A</v>
      </c>
      <c r="D151" s="4">
        <f>'GS DATA'!J151</f>
        <v>0</v>
      </c>
      <c r="E151" s="37" t="e">
        <f>VLOOKUP(D151,'GS 점포명'!A:B,2,0)</f>
        <v>#N/A</v>
      </c>
      <c r="F151" s="38">
        <f>'GS DATA'!M151</f>
        <v>0</v>
      </c>
      <c r="G151" s="39" t="e">
        <f>VLOOKUP($F151,'GS 제품코드'!$A:$C,3,0)</f>
        <v>#N/A</v>
      </c>
      <c r="H151" s="40">
        <f>'GS DATA'!L151</f>
        <v>0</v>
      </c>
      <c r="I151" s="41">
        <f>'GS DATA'!Q151</f>
        <v>0</v>
      </c>
      <c r="J151" s="42">
        <f>'GS DATA'!S151</f>
        <v>0</v>
      </c>
      <c r="K151" s="43">
        <f t="shared" si="7"/>
        <v>0</v>
      </c>
    </row>
    <row r="152" spans="1:11" ht="15.6">
      <c r="A152" s="49">
        <f>'GS DATA'!X152</f>
        <v>0</v>
      </c>
      <c r="B152" s="4">
        <f>'GS DATA'!J152</f>
        <v>0</v>
      </c>
      <c r="C152" s="37" t="e">
        <f>VLOOKUP(B152,'GS 점포명'!A:B,2,0)</f>
        <v>#N/A</v>
      </c>
      <c r="D152" s="4">
        <f>'GS DATA'!J152</f>
        <v>0</v>
      </c>
      <c r="E152" s="37" t="e">
        <f>VLOOKUP(D152,'GS 점포명'!A:B,2,0)</f>
        <v>#N/A</v>
      </c>
      <c r="F152" s="38">
        <f>'GS DATA'!M152</f>
        <v>0</v>
      </c>
      <c r="G152" s="39" t="e">
        <f>VLOOKUP($F152,'GS 제품코드'!$A:$C,3,0)</f>
        <v>#N/A</v>
      </c>
      <c r="H152" s="40">
        <f>'GS DATA'!L152</f>
        <v>0</v>
      </c>
      <c r="I152" s="41">
        <f>'GS DATA'!Q152</f>
        <v>0</v>
      </c>
      <c r="J152" s="42">
        <f>'GS DATA'!S152</f>
        <v>0</v>
      </c>
      <c r="K152" s="43">
        <f t="shared" si="7"/>
        <v>0</v>
      </c>
    </row>
    <row r="153" spans="1:11" ht="15.6">
      <c r="A153" s="49">
        <f>'GS DATA'!X153</f>
        <v>0</v>
      </c>
      <c r="B153" s="4">
        <f>'GS DATA'!J153</f>
        <v>0</v>
      </c>
      <c r="C153" s="37" t="e">
        <f>VLOOKUP(B153,'GS 점포명'!A:B,2,0)</f>
        <v>#N/A</v>
      </c>
      <c r="D153" s="4">
        <f>'GS DATA'!J153</f>
        <v>0</v>
      </c>
      <c r="E153" s="37" t="e">
        <f>VLOOKUP(D153,'GS 점포명'!A:B,2,0)</f>
        <v>#N/A</v>
      </c>
      <c r="F153" s="38">
        <f>'GS DATA'!M153</f>
        <v>0</v>
      </c>
      <c r="G153" s="39" t="e">
        <f>VLOOKUP($F153,'GS 제품코드'!$A:$C,3,0)</f>
        <v>#N/A</v>
      </c>
      <c r="H153" s="40">
        <f>'GS DATA'!L153</f>
        <v>0</v>
      </c>
      <c r="I153" s="41">
        <f>'GS DATA'!Q153</f>
        <v>0</v>
      </c>
      <c r="J153" s="42">
        <f>'GS DATA'!S153</f>
        <v>0</v>
      </c>
      <c r="K153" s="43">
        <f t="shared" si="7"/>
        <v>0</v>
      </c>
    </row>
    <row r="154" spans="1:11" ht="15.6">
      <c r="A154" s="49">
        <f>'GS DATA'!X154</f>
        <v>0</v>
      </c>
      <c r="B154" s="4">
        <f>'GS DATA'!J154</f>
        <v>0</v>
      </c>
      <c r="C154" s="37" t="e">
        <f>VLOOKUP(B154,'GS 점포명'!A:B,2,0)</f>
        <v>#N/A</v>
      </c>
      <c r="D154" s="4">
        <f>'GS DATA'!J154</f>
        <v>0</v>
      </c>
      <c r="E154" s="37" t="e">
        <f>VLOOKUP(D154,'GS 점포명'!A:B,2,0)</f>
        <v>#N/A</v>
      </c>
      <c r="F154" s="38">
        <f>'GS DATA'!M154</f>
        <v>0</v>
      </c>
      <c r="G154" s="39" t="e">
        <f>VLOOKUP($F154,'GS 제품코드'!$A:$C,3,0)</f>
        <v>#N/A</v>
      </c>
      <c r="H154" s="40">
        <f>'GS DATA'!L154</f>
        <v>0</v>
      </c>
      <c r="I154" s="41">
        <f>'GS DATA'!Q154</f>
        <v>0</v>
      </c>
      <c r="J154" s="42">
        <f>'GS DATA'!S154</f>
        <v>0</v>
      </c>
      <c r="K154" s="43">
        <f t="shared" si="7"/>
        <v>0</v>
      </c>
    </row>
    <row r="155" spans="1:11" ht="15.6">
      <c r="A155" s="49">
        <f>'GS DATA'!X155</f>
        <v>0</v>
      </c>
      <c r="B155" s="4">
        <f>'GS DATA'!J155</f>
        <v>0</v>
      </c>
      <c r="C155" s="37" t="e">
        <f>VLOOKUP(B155,'GS 점포명'!A:B,2,0)</f>
        <v>#N/A</v>
      </c>
      <c r="D155" s="4">
        <f>'GS DATA'!J155</f>
        <v>0</v>
      </c>
      <c r="E155" s="37" t="e">
        <f>VLOOKUP(D155,'GS 점포명'!A:B,2,0)</f>
        <v>#N/A</v>
      </c>
      <c r="F155" s="38">
        <f>'GS DATA'!M155</f>
        <v>0</v>
      </c>
      <c r="G155" s="39" t="e">
        <f>VLOOKUP($F155,'GS 제품코드'!$A:$C,3,0)</f>
        <v>#N/A</v>
      </c>
      <c r="H155" s="40">
        <f>'GS DATA'!L155</f>
        <v>0</v>
      </c>
      <c r="I155" s="41">
        <f>'GS DATA'!Q155</f>
        <v>0</v>
      </c>
      <c r="J155" s="42">
        <f>'GS DATA'!S155</f>
        <v>0</v>
      </c>
      <c r="K155" s="43">
        <f t="shared" si="7"/>
        <v>0</v>
      </c>
    </row>
    <row r="156" spans="1:11" ht="15.6">
      <c r="A156" s="49">
        <f>'GS DATA'!X156</f>
        <v>0</v>
      </c>
      <c r="B156" s="4">
        <f>'GS DATA'!J156</f>
        <v>0</v>
      </c>
      <c r="C156" s="37" t="e">
        <f>VLOOKUP(B156,'GS 점포명'!A:B,2,0)</f>
        <v>#N/A</v>
      </c>
      <c r="D156" s="4">
        <f>'GS DATA'!J156</f>
        <v>0</v>
      </c>
      <c r="E156" s="37" t="e">
        <f>VLOOKUP(D156,'GS 점포명'!A:B,2,0)</f>
        <v>#N/A</v>
      </c>
      <c r="F156" s="38">
        <f>'GS DATA'!M156</f>
        <v>0</v>
      </c>
      <c r="G156" s="39" t="e">
        <f>VLOOKUP($F156,'GS 제품코드'!$A:$C,3,0)</f>
        <v>#N/A</v>
      </c>
      <c r="H156" s="40">
        <f>'GS DATA'!L156</f>
        <v>0</v>
      </c>
      <c r="I156" s="41">
        <f>'GS DATA'!Q156</f>
        <v>0</v>
      </c>
      <c r="J156" s="42">
        <f>'GS DATA'!S156</f>
        <v>0</v>
      </c>
      <c r="K156" s="43">
        <f t="shared" si="7"/>
        <v>0</v>
      </c>
    </row>
    <row r="157" spans="1:11" ht="15.6">
      <c r="A157" s="49">
        <f>'GS DATA'!X157</f>
        <v>0</v>
      </c>
      <c r="B157" s="4">
        <f>'GS DATA'!J157</f>
        <v>0</v>
      </c>
      <c r="C157" s="37" t="e">
        <f>VLOOKUP(B157,'GS 점포명'!A:B,2,0)</f>
        <v>#N/A</v>
      </c>
      <c r="D157" s="4">
        <f>'GS DATA'!J157</f>
        <v>0</v>
      </c>
      <c r="E157" s="37" t="e">
        <f>VLOOKUP(D157,'GS 점포명'!A:B,2,0)</f>
        <v>#N/A</v>
      </c>
      <c r="F157" s="38">
        <f>'GS DATA'!M157</f>
        <v>0</v>
      </c>
      <c r="G157" s="39" t="e">
        <f>VLOOKUP($F157,'GS 제품코드'!$A:$C,3,0)</f>
        <v>#N/A</v>
      </c>
      <c r="H157" s="40">
        <f>'GS DATA'!L157</f>
        <v>0</v>
      </c>
      <c r="I157" s="41">
        <f>'GS DATA'!Q157</f>
        <v>0</v>
      </c>
      <c r="J157" s="42">
        <f>'GS DATA'!S157</f>
        <v>0</v>
      </c>
      <c r="K157" s="43">
        <f t="shared" si="7"/>
        <v>0</v>
      </c>
    </row>
    <row r="158" spans="1:11" ht="15.6">
      <c r="A158" s="49">
        <f>'GS DATA'!X158</f>
        <v>0</v>
      </c>
      <c r="B158" s="4">
        <f>'GS DATA'!J158</f>
        <v>0</v>
      </c>
      <c r="C158" s="37" t="e">
        <f>VLOOKUP(B158,'GS 점포명'!A:B,2,0)</f>
        <v>#N/A</v>
      </c>
      <c r="D158" s="4">
        <f>'GS DATA'!J158</f>
        <v>0</v>
      </c>
      <c r="E158" s="37" t="e">
        <f>VLOOKUP(D158,'GS 점포명'!A:B,2,0)</f>
        <v>#N/A</v>
      </c>
      <c r="F158" s="38">
        <f>'GS DATA'!M158</f>
        <v>0</v>
      </c>
      <c r="G158" s="39" t="e">
        <f>VLOOKUP($F158,'GS 제품코드'!$A:$C,3,0)</f>
        <v>#N/A</v>
      </c>
      <c r="H158" s="40">
        <f>'GS DATA'!L158</f>
        <v>0</v>
      </c>
      <c r="I158" s="41">
        <f>'GS DATA'!Q158</f>
        <v>0</v>
      </c>
      <c r="J158" s="42">
        <f>'GS DATA'!S158</f>
        <v>0</v>
      </c>
      <c r="K158" s="43">
        <f t="shared" si="7"/>
        <v>0</v>
      </c>
    </row>
    <row r="159" spans="1:11" ht="15.6">
      <c r="A159" s="49">
        <f>'GS DATA'!X159</f>
        <v>0</v>
      </c>
      <c r="B159" s="4">
        <f>'GS DATA'!J159</f>
        <v>0</v>
      </c>
      <c r="C159" s="37" t="e">
        <f>VLOOKUP(B159,'GS 점포명'!A:B,2,0)</f>
        <v>#N/A</v>
      </c>
      <c r="D159" s="4">
        <f>'GS DATA'!J159</f>
        <v>0</v>
      </c>
      <c r="E159" s="37" t="e">
        <f>VLOOKUP(D159,'GS 점포명'!A:B,2,0)</f>
        <v>#N/A</v>
      </c>
      <c r="F159" s="38">
        <f>'GS DATA'!M159</f>
        <v>0</v>
      </c>
      <c r="G159" s="39" t="e">
        <f>VLOOKUP($F159,'GS 제품코드'!$A:$C,3,0)</f>
        <v>#N/A</v>
      </c>
      <c r="H159" s="40">
        <f>'GS DATA'!L159</f>
        <v>0</v>
      </c>
      <c r="I159" s="41">
        <f>'GS DATA'!Q159</f>
        <v>0</v>
      </c>
      <c r="J159" s="42">
        <f>'GS DATA'!S159</f>
        <v>0</v>
      </c>
      <c r="K159" s="43">
        <f t="shared" si="7"/>
        <v>0</v>
      </c>
    </row>
    <row r="160" spans="1:11" ht="15.6">
      <c r="A160" s="49">
        <f>'GS DATA'!X160</f>
        <v>0</v>
      </c>
      <c r="B160" s="4">
        <f>'GS DATA'!J160</f>
        <v>0</v>
      </c>
      <c r="C160" s="37" t="e">
        <f>VLOOKUP(B160,'GS 점포명'!A:B,2,0)</f>
        <v>#N/A</v>
      </c>
      <c r="D160" s="4">
        <f>'GS DATA'!J160</f>
        <v>0</v>
      </c>
      <c r="E160" s="37" t="e">
        <f>VLOOKUP(D160,'GS 점포명'!A:B,2,0)</f>
        <v>#N/A</v>
      </c>
      <c r="F160" s="38">
        <f>'GS DATA'!M160</f>
        <v>0</v>
      </c>
      <c r="G160" s="39" t="e">
        <f>VLOOKUP($F160,'GS 제품코드'!$A:$C,3,0)</f>
        <v>#N/A</v>
      </c>
      <c r="H160" s="40">
        <f>'GS DATA'!L160</f>
        <v>0</v>
      </c>
      <c r="I160" s="41">
        <f>'GS DATA'!Q160</f>
        <v>0</v>
      </c>
      <c r="J160" s="42">
        <f>'GS DATA'!S160</f>
        <v>0</v>
      </c>
      <c r="K160" s="43">
        <f t="shared" si="7"/>
        <v>0</v>
      </c>
    </row>
    <row r="161" spans="1:11" ht="15.6">
      <c r="A161" s="49">
        <f>'GS DATA'!X161</f>
        <v>0</v>
      </c>
      <c r="B161" s="4">
        <f>'GS DATA'!J161</f>
        <v>0</v>
      </c>
      <c r="C161" s="37" t="e">
        <f>VLOOKUP(B161,'GS 점포명'!A:B,2,0)</f>
        <v>#N/A</v>
      </c>
      <c r="D161" s="4">
        <f>'GS DATA'!J161</f>
        <v>0</v>
      </c>
      <c r="E161" s="37" t="e">
        <f>VLOOKUP(D161,'GS 점포명'!A:B,2,0)</f>
        <v>#N/A</v>
      </c>
      <c r="F161" s="38">
        <f>'GS DATA'!M161</f>
        <v>0</v>
      </c>
      <c r="G161" s="39" t="e">
        <f>VLOOKUP($F161,'GS 제품코드'!$A:$C,3,0)</f>
        <v>#N/A</v>
      </c>
      <c r="H161" s="40">
        <f>'GS DATA'!L161</f>
        <v>0</v>
      </c>
      <c r="I161" s="41">
        <f>'GS DATA'!Q161</f>
        <v>0</v>
      </c>
      <c r="J161" s="42">
        <f>'GS DATA'!S161</f>
        <v>0</v>
      </c>
      <c r="K161" s="43">
        <f t="shared" si="7"/>
        <v>0</v>
      </c>
    </row>
    <row r="162" spans="1:11" ht="15.6">
      <c r="A162" s="49">
        <f>'GS DATA'!X162</f>
        <v>0</v>
      </c>
      <c r="B162" s="4">
        <f>'GS DATA'!J162</f>
        <v>0</v>
      </c>
      <c r="C162" s="37" t="e">
        <f>VLOOKUP(B162,'GS 점포명'!A:B,2,0)</f>
        <v>#N/A</v>
      </c>
      <c r="D162" s="4">
        <f>'GS DATA'!J162</f>
        <v>0</v>
      </c>
      <c r="E162" s="37" t="e">
        <f>VLOOKUP(D162,'GS 점포명'!A:B,2,0)</f>
        <v>#N/A</v>
      </c>
      <c r="F162" s="38">
        <f>'GS DATA'!M162</f>
        <v>0</v>
      </c>
      <c r="G162" s="39" t="e">
        <f>VLOOKUP($F162,'GS 제품코드'!$A:$C,3,0)</f>
        <v>#N/A</v>
      </c>
      <c r="H162" s="40">
        <f>'GS DATA'!L162</f>
        <v>0</v>
      </c>
      <c r="I162" s="41">
        <f>'GS DATA'!Q162</f>
        <v>0</v>
      </c>
      <c r="J162" s="42">
        <f>'GS DATA'!S162</f>
        <v>0</v>
      </c>
      <c r="K162" s="43">
        <f t="shared" si="7"/>
        <v>0</v>
      </c>
    </row>
    <row r="163" spans="1:11" ht="15.6">
      <c r="A163" s="49">
        <f>'GS DATA'!X163</f>
        <v>0</v>
      </c>
      <c r="B163" s="4">
        <f>'GS DATA'!J163</f>
        <v>0</v>
      </c>
      <c r="C163" s="37" t="e">
        <f>VLOOKUP(B163,'GS 점포명'!A:B,2,0)</f>
        <v>#N/A</v>
      </c>
      <c r="D163" s="4">
        <f>'GS DATA'!J163</f>
        <v>0</v>
      </c>
      <c r="E163" s="37" t="e">
        <f>VLOOKUP(D163,'GS 점포명'!A:B,2,0)</f>
        <v>#N/A</v>
      </c>
      <c r="F163" s="38">
        <f>'GS DATA'!M163</f>
        <v>0</v>
      </c>
      <c r="G163" s="39" t="e">
        <f>VLOOKUP($F163,'GS 제품코드'!$A:$C,3,0)</f>
        <v>#N/A</v>
      </c>
      <c r="H163" s="40">
        <f>'GS DATA'!L163</f>
        <v>0</v>
      </c>
      <c r="I163" s="41">
        <f>'GS DATA'!Q163</f>
        <v>0</v>
      </c>
      <c r="J163" s="42">
        <f>'GS DATA'!S163</f>
        <v>0</v>
      </c>
      <c r="K163" s="43">
        <f t="shared" ref="K163:K226" si="8">I163*J163</f>
        <v>0</v>
      </c>
    </row>
    <row r="164" spans="1:11" ht="15.6">
      <c r="A164" s="49">
        <f>'GS DATA'!X164</f>
        <v>0</v>
      </c>
      <c r="B164" s="4">
        <f>'GS DATA'!J164</f>
        <v>0</v>
      </c>
      <c r="C164" s="37" t="e">
        <f>VLOOKUP(B164,'GS 점포명'!A:B,2,0)</f>
        <v>#N/A</v>
      </c>
      <c r="D164" s="4">
        <f>'GS DATA'!J164</f>
        <v>0</v>
      </c>
      <c r="E164" s="37" t="e">
        <f>VLOOKUP(D164,'GS 점포명'!A:B,2,0)</f>
        <v>#N/A</v>
      </c>
      <c r="F164" s="38">
        <f>'GS DATA'!M164</f>
        <v>0</v>
      </c>
      <c r="G164" s="39" t="e">
        <f>VLOOKUP($F164,'GS 제품코드'!$A:$C,3,0)</f>
        <v>#N/A</v>
      </c>
      <c r="H164" s="40">
        <f>'GS DATA'!L164</f>
        <v>0</v>
      </c>
      <c r="I164" s="41">
        <f>'GS DATA'!Q164</f>
        <v>0</v>
      </c>
      <c r="J164" s="42">
        <f>'GS DATA'!S164</f>
        <v>0</v>
      </c>
      <c r="K164" s="43">
        <f t="shared" si="8"/>
        <v>0</v>
      </c>
    </row>
    <row r="165" spans="1:11" ht="15.6">
      <c r="A165" s="49">
        <f>'GS DATA'!X165</f>
        <v>0</v>
      </c>
      <c r="B165" s="4">
        <f>'GS DATA'!J165</f>
        <v>0</v>
      </c>
      <c r="C165" s="37" t="e">
        <f>VLOOKUP(B165,'GS 점포명'!A:B,2,0)</f>
        <v>#N/A</v>
      </c>
      <c r="D165" s="4">
        <f>'GS DATA'!J165</f>
        <v>0</v>
      </c>
      <c r="E165" s="37" t="e">
        <f>VLOOKUP(D165,'GS 점포명'!A:B,2,0)</f>
        <v>#N/A</v>
      </c>
      <c r="F165" s="38">
        <f>'GS DATA'!M165</f>
        <v>0</v>
      </c>
      <c r="G165" s="39" t="e">
        <f>VLOOKUP($F165,'GS 제품코드'!$A:$C,3,0)</f>
        <v>#N/A</v>
      </c>
      <c r="H165" s="40">
        <f>'GS DATA'!L165</f>
        <v>0</v>
      </c>
      <c r="I165" s="41">
        <f>'GS DATA'!Q165</f>
        <v>0</v>
      </c>
      <c r="J165" s="42">
        <f>'GS DATA'!S165</f>
        <v>0</v>
      </c>
      <c r="K165" s="43">
        <f t="shared" si="8"/>
        <v>0</v>
      </c>
    </row>
    <row r="166" spans="1:11" ht="15.6">
      <c r="A166" s="49">
        <f>'GS DATA'!X166</f>
        <v>0</v>
      </c>
      <c r="B166" s="4">
        <f>'GS DATA'!J166</f>
        <v>0</v>
      </c>
      <c r="C166" s="37" t="e">
        <f>VLOOKUP(B166,'GS 점포명'!A:B,2,0)</f>
        <v>#N/A</v>
      </c>
      <c r="D166" s="4">
        <f>'GS DATA'!J166</f>
        <v>0</v>
      </c>
      <c r="E166" s="37" t="e">
        <f>VLOOKUP(D166,'GS 점포명'!A:B,2,0)</f>
        <v>#N/A</v>
      </c>
      <c r="F166" s="38">
        <f>'GS DATA'!M166</f>
        <v>0</v>
      </c>
      <c r="G166" s="39" t="e">
        <f>VLOOKUP($F166,'GS 제품코드'!$A:$C,3,0)</f>
        <v>#N/A</v>
      </c>
      <c r="H166" s="40">
        <f>'GS DATA'!L166</f>
        <v>0</v>
      </c>
      <c r="I166" s="41">
        <f>'GS DATA'!Q166</f>
        <v>0</v>
      </c>
      <c r="J166" s="42">
        <f>'GS DATA'!S166</f>
        <v>0</v>
      </c>
      <c r="K166" s="43">
        <f t="shared" si="8"/>
        <v>0</v>
      </c>
    </row>
    <row r="167" spans="1:11" ht="15.6">
      <c r="A167" s="49">
        <f>'GS DATA'!X167</f>
        <v>0</v>
      </c>
      <c r="B167" s="4">
        <f>'GS DATA'!J167</f>
        <v>0</v>
      </c>
      <c r="C167" s="37" t="e">
        <f>VLOOKUP(B167,'GS 점포명'!A:B,2,0)</f>
        <v>#N/A</v>
      </c>
      <c r="D167" s="4">
        <f>'GS DATA'!J167</f>
        <v>0</v>
      </c>
      <c r="E167" s="37" t="e">
        <f>VLOOKUP(D167,'GS 점포명'!A:B,2,0)</f>
        <v>#N/A</v>
      </c>
      <c r="F167" s="38">
        <f>'GS DATA'!M167</f>
        <v>0</v>
      </c>
      <c r="G167" s="39" t="e">
        <f>VLOOKUP($F167,'GS 제품코드'!$A:$C,3,0)</f>
        <v>#N/A</v>
      </c>
      <c r="H167" s="40">
        <f>'GS DATA'!L167</f>
        <v>0</v>
      </c>
      <c r="I167" s="41">
        <f>'GS DATA'!Q167</f>
        <v>0</v>
      </c>
      <c r="J167" s="42">
        <f>'GS DATA'!S167</f>
        <v>0</v>
      </c>
      <c r="K167" s="43">
        <f t="shared" si="8"/>
        <v>0</v>
      </c>
    </row>
    <row r="168" spans="1:11" ht="15.6">
      <c r="A168" s="49">
        <f>'GS DATA'!X168</f>
        <v>0</v>
      </c>
      <c r="B168" s="4">
        <f>'GS DATA'!J168</f>
        <v>0</v>
      </c>
      <c r="C168" s="37" t="e">
        <f>VLOOKUP(B168,'GS 점포명'!A:B,2,0)</f>
        <v>#N/A</v>
      </c>
      <c r="D168" s="4">
        <f>'GS DATA'!J168</f>
        <v>0</v>
      </c>
      <c r="E168" s="37" t="e">
        <f>VLOOKUP(D168,'GS 점포명'!A:B,2,0)</f>
        <v>#N/A</v>
      </c>
      <c r="F168" s="38">
        <f>'GS DATA'!M168</f>
        <v>0</v>
      </c>
      <c r="G168" s="39" t="e">
        <f>VLOOKUP($F168,'GS 제품코드'!$A:$C,3,0)</f>
        <v>#N/A</v>
      </c>
      <c r="H168" s="40">
        <f>'GS DATA'!L168</f>
        <v>0</v>
      </c>
      <c r="I168" s="41">
        <f>'GS DATA'!Q168</f>
        <v>0</v>
      </c>
      <c r="J168" s="42">
        <f>'GS DATA'!S168</f>
        <v>0</v>
      </c>
      <c r="K168" s="43">
        <f t="shared" si="8"/>
        <v>0</v>
      </c>
    </row>
    <row r="169" spans="1:11" ht="15.6">
      <c r="A169" s="49">
        <f>'GS DATA'!X169</f>
        <v>0</v>
      </c>
      <c r="B169" s="4">
        <f>'GS DATA'!J169</f>
        <v>0</v>
      </c>
      <c r="C169" s="37" t="e">
        <f>VLOOKUP(B169,'GS 점포명'!A:B,2,0)</f>
        <v>#N/A</v>
      </c>
      <c r="D169" s="4">
        <f>'GS DATA'!J169</f>
        <v>0</v>
      </c>
      <c r="E169" s="37" t="e">
        <f>VLOOKUP(D169,'GS 점포명'!A:B,2,0)</f>
        <v>#N/A</v>
      </c>
      <c r="F169" s="38">
        <f>'GS DATA'!M169</f>
        <v>0</v>
      </c>
      <c r="G169" s="39" t="e">
        <f>VLOOKUP($F169,'GS 제품코드'!$A:$C,3,0)</f>
        <v>#N/A</v>
      </c>
      <c r="H169" s="40">
        <f>'GS DATA'!L169</f>
        <v>0</v>
      </c>
      <c r="I169" s="41">
        <f>'GS DATA'!Q169</f>
        <v>0</v>
      </c>
      <c r="J169" s="42">
        <f>'GS DATA'!S169</f>
        <v>0</v>
      </c>
      <c r="K169" s="43">
        <f t="shared" si="8"/>
        <v>0</v>
      </c>
    </row>
    <row r="170" spans="1:11" ht="15.6">
      <c r="A170" s="49">
        <f>'GS DATA'!X170</f>
        <v>0</v>
      </c>
      <c r="B170" s="4">
        <f>'GS DATA'!J170</f>
        <v>0</v>
      </c>
      <c r="C170" s="37" t="e">
        <f>VLOOKUP(B170,'GS 점포명'!A:B,2,0)</f>
        <v>#N/A</v>
      </c>
      <c r="D170" s="4">
        <f>'GS DATA'!J170</f>
        <v>0</v>
      </c>
      <c r="E170" s="37" t="e">
        <f>VLOOKUP(D170,'GS 점포명'!A:B,2,0)</f>
        <v>#N/A</v>
      </c>
      <c r="F170" s="38">
        <f>'GS DATA'!M170</f>
        <v>0</v>
      </c>
      <c r="G170" s="39" t="e">
        <f>VLOOKUP($F170,'GS 제품코드'!$A:$C,3,0)</f>
        <v>#N/A</v>
      </c>
      <c r="H170" s="40">
        <f>'GS DATA'!L170</f>
        <v>0</v>
      </c>
      <c r="I170" s="41">
        <f>'GS DATA'!Q170</f>
        <v>0</v>
      </c>
      <c r="J170" s="42">
        <f>'GS DATA'!S170</f>
        <v>0</v>
      </c>
      <c r="K170" s="43">
        <f t="shared" si="8"/>
        <v>0</v>
      </c>
    </row>
    <row r="171" spans="1:11" ht="15.6">
      <c r="A171" s="49">
        <f>'GS DATA'!X171</f>
        <v>0</v>
      </c>
      <c r="B171" s="4">
        <f>'GS DATA'!J171</f>
        <v>0</v>
      </c>
      <c r="C171" s="37" t="e">
        <f>VLOOKUP(B171,'GS 점포명'!A:B,2,0)</f>
        <v>#N/A</v>
      </c>
      <c r="D171" s="4">
        <f>'GS DATA'!J171</f>
        <v>0</v>
      </c>
      <c r="E171" s="37" t="e">
        <f>VLOOKUP(D171,'GS 점포명'!A:B,2,0)</f>
        <v>#N/A</v>
      </c>
      <c r="F171" s="38">
        <f>'GS DATA'!M171</f>
        <v>0</v>
      </c>
      <c r="G171" s="39" t="e">
        <f>VLOOKUP($F171,'GS 제품코드'!$A:$C,3,0)</f>
        <v>#N/A</v>
      </c>
      <c r="H171" s="40">
        <f>'GS DATA'!L171</f>
        <v>0</v>
      </c>
      <c r="I171" s="41">
        <f>'GS DATA'!Q171</f>
        <v>0</v>
      </c>
      <c r="J171" s="42">
        <f>'GS DATA'!S171</f>
        <v>0</v>
      </c>
      <c r="K171" s="43">
        <f t="shared" si="8"/>
        <v>0</v>
      </c>
    </row>
    <row r="172" spans="1:11" ht="15.6">
      <c r="A172" s="49">
        <f>'GS DATA'!X172</f>
        <v>0</v>
      </c>
      <c r="B172" s="4">
        <f>'GS DATA'!J172</f>
        <v>0</v>
      </c>
      <c r="C172" s="37" t="e">
        <f>VLOOKUP(B172,'GS 점포명'!A:B,2,0)</f>
        <v>#N/A</v>
      </c>
      <c r="D172" s="4">
        <f>'GS DATA'!J172</f>
        <v>0</v>
      </c>
      <c r="E172" s="37" t="e">
        <f>VLOOKUP(D172,'GS 점포명'!A:B,2,0)</f>
        <v>#N/A</v>
      </c>
      <c r="F172" s="38">
        <f>'GS DATA'!M172</f>
        <v>0</v>
      </c>
      <c r="G172" s="39" t="e">
        <f>VLOOKUP($F172,'GS 제품코드'!$A:$C,3,0)</f>
        <v>#N/A</v>
      </c>
      <c r="H172" s="40">
        <f>'GS DATA'!L172</f>
        <v>0</v>
      </c>
      <c r="I172" s="41">
        <f>'GS DATA'!Q172</f>
        <v>0</v>
      </c>
      <c r="J172" s="42">
        <f>'GS DATA'!S172</f>
        <v>0</v>
      </c>
      <c r="K172" s="43">
        <f t="shared" si="8"/>
        <v>0</v>
      </c>
    </row>
    <row r="173" spans="1:11" ht="15.6">
      <c r="A173" s="49">
        <f>'GS DATA'!X173</f>
        <v>0</v>
      </c>
      <c r="B173" s="4">
        <f>'GS DATA'!J173</f>
        <v>0</v>
      </c>
      <c r="C173" s="37" t="e">
        <f>VLOOKUP(B173,'GS 점포명'!A:B,2,0)</f>
        <v>#N/A</v>
      </c>
      <c r="D173" s="4">
        <f>'GS DATA'!J173</f>
        <v>0</v>
      </c>
      <c r="E173" s="37" t="e">
        <f>VLOOKUP(D173,'GS 점포명'!A:B,2,0)</f>
        <v>#N/A</v>
      </c>
      <c r="F173" s="38">
        <f>'GS DATA'!M173</f>
        <v>0</v>
      </c>
      <c r="G173" s="39" t="e">
        <f>VLOOKUP($F173,'GS 제품코드'!$A:$C,3,0)</f>
        <v>#N/A</v>
      </c>
      <c r="H173" s="40">
        <f>'GS DATA'!L173</f>
        <v>0</v>
      </c>
      <c r="I173" s="41">
        <f>'GS DATA'!Q173</f>
        <v>0</v>
      </c>
      <c r="J173" s="42">
        <f>'GS DATA'!S173</f>
        <v>0</v>
      </c>
      <c r="K173" s="43">
        <f t="shared" si="8"/>
        <v>0</v>
      </c>
    </row>
    <row r="174" spans="1:11" ht="15.6">
      <c r="A174" s="49">
        <f>'GS DATA'!X174</f>
        <v>0</v>
      </c>
      <c r="B174" s="4">
        <f>'GS DATA'!J174</f>
        <v>0</v>
      </c>
      <c r="C174" s="37" t="e">
        <f>VLOOKUP(B174,'GS 점포명'!A:B,2,0)</f>
        <v>#N/A</v>
      </c>
      <c r="D174" s="4">
        <f>'GS DATA'!J174</f>
        <v>0</v>
      </c>
      <c r="E174" s="37" t="e">
        <f>VLOOKUP(D174,'GS 점포명'!A:B,2,0)</f>
        <v>#N/A</v>
      </c>
      <c r="F174" s="38">
        <f>'GS DATA'!M174</f>
        <v>0</v>
      </c>
      <c r="G174" s="39" t="e">
        <f>VLOOKUP($F174,'GS 제품코드'!$A:$C,3,0)</f>
        <v>#N/A</v>
      </c>
      <c r="H174" s="40">
        <f>'GS DATA'!L174</f>
        <v>0</v>
      </c>
      <c r="I174" s="41">
        <f>'GS DATA'!Q174</f>
        <v>0</v>
      </c>
      <c r="J174" s="42">
        <f>'GS DATA'!S174</f>
        <v>0</v>
      </c>
      <c r="K174" s="43">
        <f t="shared" si="8"/>
        <v>0</v>
      </c>
    </row>
    <row r="175" spans="1:11" ht="15.6">
      <c r="A175" s="49">
        <f>'GS DATA'!X175</f>
        <v>0</v>
      </c>
      <c r="B175" s="4">
        <f>'GS DATA'!J175</f>
        <v>0</v>
      </c>
      <c r="C175" s="37" t="e">
        <f>VLOOKUP(B175,'GS 점포명'!A:B,2,0)</f>
        <v>#N/A</v>
      </c>
      <c r="D175" s="4">
        <f>'GS DATA'!J175</f>
        <v>0</v>
      </c>
      <c r="E175" s="37" t="e">
        <f>VLOOKUP(D175,'GS 점포명'!A:B,2,0)</f>
        <v>#N/A</v>
      </c>
      <c r="F175" s="38">
        <f>'GS DATA'!M175</f>
        <v>0</v>
      </c>
      <c r="G175" s="39" t="e">
        <f>VLOOKUP($F175,'GS 제품코드'!$A:$C,3,0)</f>
        <v>#N/A</v>
      </c>
      <c r="H175" s="40">
        <f>'GS DATA'!L175</f>
        <v>0</v>
      </c>
      <c r="I175" s="41">
        <f>'GS DATA'!Q175</f>
        <v>0</v>
      </c>
      <c r="J175" s="42">
        <f>'GS DATA'!S175</f>
        <v>0</v>
      </c>
      <c r="K175" s="43">
        <f t="shared" si="8"/>
        <v>0</v>
      </c>
    </row>
    <row r="176" spans="1:11" ht="15.6">
      <c r="A176" s="49">
        <f>'GS DATA'!X176</f>
        <v>0</v>
      </c>
      <c r="B176" s="4">
        <f>'GS DATA'!J176</f>
        <v>0</v>
      </c>
      <c r="C176" s="37" t="e">
        <f>VLOOKUP(B176,'GS 점포명'!A:B,2,0)</f>
        <v>#N/A</v>
      </c>
      <c r="D176" s="4">
        <f>'GS DATA'!J176</f>
        <v>0</v>
      </c>
      <c r="E176" s="37" t="e">
        <f>VLOOKUP(D176,'GS 점포명'!A:B,2,0)</f>
        <v>#N/A</v>
      </c>
      <c r="F176" s="38">
        <f>'GS DATA'!M176</f>
        <v>0</v>
      </c>
      <c r="G176" s="39" t="e">
        <f>VLOOKUP($F176,'GS 제품코드'!$A:$C,3,0)</f>
        <v>#N/A</v>
      </c>
      <c r="H176" s="40">
        <f>'GS DATA'!L176</f>
        <v>0</v>
      </c>
      <c r="I176" s="41">
        <f>'GS DATA'!Q176</f>
        <v>0</v>
      </c>
      <c r="J176" s="42">
        <f>'GS DATA'!S176</f>
        <v>0</v>
      </c>
      <c r="K176" s="43">
        <f t="shared" si="8"/>
        <v>0</v>
      </c>
    </row>
    <row r="177" spans="1:11" ht="15.6">
      <c r="A177" s="49">
        <f>'GS DATA'!X177</f>
        <v>0</v>
      </c>
      <c r="B177" s="4">
        <f>'GS DATA'!J177</f>
        <v>0</v>
      </c>
      <c r="C177" s="37" t="e">
        <f>VLOOKUP(B177,'GS 점포명'!A:B,2,0)</f>
        <v>#N/A</v>
      </c>
      <c r="D177" s="4">
        <f>'GS DATA'!J177</f>
        <v>0</v>
      </c>
      <c r="E177" s="37" t="e">
        <f>VLOOKUP(D177,'GS 점포명'!A:B,2,0)</f>
        <v>#N/A</v>
      </c>
      <c r="F177" s="38">
        <f>'GS DATA'!M177</f>
        <v>0</v>
      </c>
      <c r="G177" s="39" t="e">
        <f>VLOOKUP($F177,'GS 제품코드'!$A:$C,3,0)</f>
        <v>#N/A</v>
      </c>
      <c r="H177" s="40">
        <f>'GS DATA'!L177</f>
        <v>0</v>
      </c>
      <c r="I177" s="41">
        <f>'GS DATA'!Q177</f>
        <v>0</v>
      </c>
      <c r="J177" s="42">
        <f>'GS DATA'!S177</f>
        <v>0</v>
      </c>
      <c r="K177" s="43">
        <f t="shared" si="8"/>
        <v>0</v>
      </c>
    </row>
    <row r="178" spans="1:11" ht="15.6">
      <c r="A178" s="49">
        <f>'GS DATA'!X178</f>
        <v>0</v>
      </c>
      <c r="B178" s="4">
        <f>'GS DATA'!J178</f>
        <v>0</v>
      </c>
      <c r="C178" s="37" t="e">
        <f>VLOOKUP(B178,'GS 점포명'!A:B,2,0)</f>
        <v>#N/A</v>
      </c>
      <c r="D178" s="4">
        <f>'GS DATA'!J178</f>
        <v>0</v>
      </c>
      <c r="E178" s="37" t="e">
        <f>VLOOKUP(D178,'GS 점포명'!A:B,2,0)</f>
        <v>#N/A</v>
      </c>
      <c r="F178" s="38">
        <f>'GS DATA'!M178</f>
        <v>0</v>
      </c>
      <c r="G178" s="39" t="e">
        <f>VLOOKUP($F178,'GS 제품코드'!$A:$C,3,0)</f>
        <v>#N/A</v>
      </c>
      <c r="H178" s="40">
        <f>'GS DATA'!L178</f>
        <v>0</v>
      </c>
      <c r="I178" s="41">
        <f>'GS DATA'!Q178</f>
        <v>0</v>
      </c>
      <c r="J178" s="42">
        <f>'GS DATA'!S178</f>
        <v>0</v>
      </c>
      <c r="K178" s="43">
        <f t="shared" si="8"/>
        <v>0</v>
      </c>
    </row>
    <row r="179" spans="1:11" ht="15.6">
      <c r="A179" s="49">
        <f>'GS DATA'!X179</f>
        <v>0</v>
      </c>
      <c r="B179" s="4">
        <f>'GS DATA'!J179</f>
        <v>0</v>
      </c>
      <c r="C179" s="37" t="e">
        <f>VLOOKUP(B179,'GS 점포명'!A:B,2,0)</f>
        <v>#N/A</v>
      </c>
      <c r="D179" s="4">
        <f>'GS DATA'!J179</f>
        <v>0</v>
      </c>
      <c r="E179" s="37" t="e">
        <f>VLOOKUP(D179,'GS 점포명'!A:B,2,0)</f>
        <v>#N/A</v>
      </c>
      <c r="F179" s="38">
        <f>'GS DATA'!M179</f>
        <v>0</v>
      </c>
      <c r="G179" s="39" t="e">
        <f>VLOOKUP($F179,'GS 제품코드'!$A:$C,3,0)</f>
        <v>#N/A</v>
      </c>
      <c r="H179" s="40">
        <f>'GS DATA'!L179</f>
        <v>0</v>
      </c>
      <c r="I179" s="41">
        <f>'GS DATA'!Q179</f>
        <v>0</v>
      </c>
      <c r="J179" s="42">
        <f>'GS DATA'!S179</f>
        <v>0</v>
      </c>
      <c r="K179" s="43">
        <f t="shared" si="8"/>
        <v>0</v>
      </c>
    </row>
    <row r="180" spans="1:11" ht="15.6">
      <c r="A180" s="49">
        <f>'GS DATA'!X180</f>
        <v>0</v>
      </c>
      <c r="B180" s="4">
        <f>'GS DATA'!J180</f>
        <v>0</v>
      </c>
      <c r="C180" s="37" t="e">
        <f>VLOOKUP(B180,'GS 점포명'!A:B,2,0)</f>
        <v>#N/A</v>
      </c>
      <c r="D180" s="4">
        <f>'GS DATA'!J180</f>
        <v>0</v>
      </c>
      <c r="E180" s="37" t="e">
        <f>VLOOKUP(D180,'GS 점포명'!A:B,2,0)</f>
        <v>#N/A</v>
      </c>
      <c r="F180" s="38">
        <f>'GS DATA'!M180</f>
        <v>0</v>
      </c>
      <c r="G180" s="39" t="e">
        <f>VLOOKUP($F180,'GS 제품코드'!$A:$C,3,0)</f>
        <v>#N/A</v>
      </c>
      <c r="H180" s="40">
        <f>'GS DATA'!L180</f>
        <v>0</v>
      </c>
      <c r="I180" s="41">
        <f>'GS DATA'!Q180</f>
        <v>0</v>
      </c>
      <c r="J180" s="42">
        <f>'GS DATA'!S180</f>
        <v>0</v>
      </c>
      <c r="K180" s="43">
        <f t="shared" si="8"/>
        <v>0</v>
      </c>
    </row>
    <row r="181" spans="1:11" ht="15.6">
      <c r="A181" s="49">
        <f>'GS DATA'!X181</f>
        <v>0</v>
      </c>
      <c r="B181" s="4">
        <f>'GS DATA'!J181</f>
        <v>0</v>
      </c>
      <c r="C181" s="37" t="e">
        <f>VLOOKUP(B181,'GS 점포명'!A:B,2,0)</f>
        <v>#N/A</v>
      </c>
      <c r="D181" s="4">
        <f>'GS DATA'!J181</f>
        <v>0</v>
      </c>
      <c r="E181" s="37" t="e">
        <f>VLOOKUP(D181,'GS 점포명'!A:B,2,0)</f>
        <v>#N/A</v>
      </c>
      <c r="F181" s="38">
        <f>'GS DATA'!M181</f>
        <v>0</v>
      </c>
      <c r="G181" s="39" t="e">
        <f>VLOOKUP($F181,'GS 제품코드'!$A:$C,3,0)</f>
        <v>#N/A</v>
      </c>
      <c r="H181" s="40">
        <f>'GS DATA'!L181</f>
        <v>0</v>
      </c>
      <c r="I181" s="41">
        <f>'GS DATA'!Q181</f>
        <v>0</v>
      </c>
      <c r="J181" s="42">
        <f>'GS DATA'!S181</f>
        <v>0</v>
      </c>
      <c r="K181" s="43">
        <f t="shared" si="8"/>
        <v>0</v>
      </c>
    </row>
    <row r="182" spans="1:11" ht="15.6">
      <c r="A182" s="49">
        <f>'GS DATA'!X182</f>
        <v>0</v>
      </c>
      <c r="B182" s="4">
        <f>'GS DATA'!J182</f>
        <v>0</v>
      </c>
      <c r="C182" s="37" t="e">
        <f>VLOOKUP(B182,'GS 점포명'!A:B,2,0)</f>
        <v>#N/A</v>
      </c>
      <c r="D182" s="4">
        <f>'GS DATA'!J182</f>
        <v>0</v>
      </c>
      <c r="E182" s="37" t="e">
        <f>VLOOKUP(D182,'GS 점포명'!A:B,2,0)</f>
        <v>#N/A</v>
      </c>
      <c r="F182" s="38">
        <f>'GS DATA'!M182</f>
        <v>0</v>
      </c>
      <c r="G182" s="39" t="e">
        <f>VLOOKUP($F182,'GS 제품코드'!$A:$C,3,0)</f>
        <v>#N/A</v>
      </c>
      <c r="H182" s="40">
        <f>'GS DATA'!L182</f>
        <v>0</v>
      </c>
      <c r="I182" s="41">
        <f>'GS DATA'!Q182</f>
        <v>0</v>
      </c>
      <c r="J182" s="42">
        <f>'GS DATA'!S182</f>
        <v>0</v>
      </c>
      <c r="K182" s="43">
        <f t="shared" si="8"/>
        <v>0</v>
      </c>
    </row>
    <row r="183" spans="1:11" ht="15.6">
      <c r="A183" s="49">
        <f>'GS DATA'!X183</f>
        <v>0</v>
      </c>
      <c r="B183" s="4">
        <f>'GS DATA'!J183</f>
        <v>0</v>
      </c>
      <c r="C183" s="37" t="e">
        <f>VLOOKUP(B183,'GS 점포명'!A:B,2,0)</f>
        <v>#N/A</v>
      </c>
      <c r="D183" s="4">
        <f>'GS DATA'!J183</f>
        <v>0</v>
      </c>
      <c r="E183" s="37" t="e">
        <f>VLOOKUP(D183,'GS 점포명'!A:B,2,0)</f>
        <v>#N/A</v>
      </c>
      <c r="F183" s="38">
        <f>'GS DATA'!M183</f>
        <v>0</v>
      </c>
      <c r="G183" s="39" t="e">
        <f>VLOOKUP($F183,'GS 제품코드'!$A:$C,3,0)</f>
        <v>#N/A</v>
      </c>
      <c r="H183" s="40">
        <f>'GS DATA'!L183</f>
        <v>0</v>
      </c>
      <c r="I183" s="41">
        <f>'GS DATA'!Q183</f>
        <v>0</v>
      </c>
      <c r="J183" s="42">
        <f>'GS DATA'!S183</f>
        <v>0</v>
      </c>
      <c r="K183" s="43">
        <f t="shared" si="8"/>
        <v>0</v>
      </c>
    </row>
    <row r="184" spans="1:11" ht="15.6">
      <c r="A184" s="49">
        <f>'GS DATA'!X184</f>
        <v>0</v>
      </c>
      <c r="B184" s="4">
        <f>'GS DATA'!J184</f>
        <v>0</v>
      </c>
      <c r="C184" s="37" t="e">
        <f>VLOOKUP(B184,'GS 점포명'!A:B,2,0)</f>
        <v>#N/A</v>
      </c>
      <c r="D184" s="4">
        <f>'GS DATA'!J184</f>
        <v>0</v>
      </c>
      <c r="E184" s="37" t="e">
        <f>VLOOKUP(D184,'GS 점포명'!A:B,2,0)</f>
        <v>#N/A</v>
      </c>
      <c r="F184" s="38">
        <f>'GS DATA'!M184</f>
        <v>0</v>
      </c>
      <c r="G184" s="39" t="e">
        <f>VLOOKUP($F184,'GS 제품코드'!$A:$C,3,0)</f>
        <v>#N/A</v>
      </c>
      <c r="H184" s="40">
        <f>'GS DATA'!L184</f>
        <v>0</v>
      </c>
      <c r="I184" s="41">
        <f>'GS DATA'!Q184</f>
        <v>0</v>
      </c>
      <c r="J184" s="42">
        <f>'GS DATA'!S184</f>
        <v>0</v>
      </c>
      <c r="K184" s="43">
        <f t="shared" si="8"/>
        <v>0</v>
      </c>
    </row>
    <row r="185" spans="1:11" ht="15.6">
      <c r="A185" s="49">
        <f>'GS DATA'!X185</f>
        <v>0</v>
      </c>
      <c r="B185" s="4">
        <f>'GS DATA'!J185</f>
        <v>0</v>
      </c>
      <c r="C185" s="37" t="e">
        <f>VLOOKUP(B185,'GS 점포명'!A:B,2,0)</f>
        <v>#N/A</v>
      </c>
      <c r="D185" s="4">
        <f>'GS DATA'!J185</f>
        <v>0</v>
      </c>
      <c r="E185" s="37" t="e">
        <f>VLOOKUP(D185,'GS 점포명'!A:B,2,0)</f>
        <v>#N/A</v>
      </c>
      <c r="F185" s="38">
        <f>'GS DATA'!M185</f>
        <v>0</v>
      </c>
      <c r="G185" s="39" t="e">
        <f>VLOOKUP($F185,'GS 제품코드'!$A:$C,3,0)</f>
        <v>#N/A</v>
      </c>
      <c r="H185" s="40">
        <f>'GS DATA'!L185</f>
        <v>0</v>
      </c>
      <c r="I185" s="41">
        <f>'GS DATA'!Q185</f>
        <v>0</v>
      </c>
      <c r="J185" s="42">
        <f>'GS DATA'!S185</f>
        <v>0</v>
      </c>
      <c r="K185" s="43">
        <f t="shared" si="8"/>
        <v>0</v>
      </c>
    </row>
    <row r="186" spans="1:11" ht="15.6">
      <c r="A186" s="49">
        <f>'GS DATA'!X186</f>
        <v>0</v>
      </c>
      <c r="B186" s="4">
        <f>'GS DATA'!J186</f>
        <v>0</v>
      </c>
      <c r="C186" s="37" t="e">
        <f>VLOOKUP(B186,'GS 점포명'!A:B,2,0)</f>
        <v>#N/A</v>
      </c>
      <c r="D186" s="4">
        <f>'GS DATA'!J186</f>
        <v>0</v>
      </c>
      <c r="E186" s="37" t="e">
        <f>VLOOKUP(D186,'GS 점포명'!A:B,2,0)</f>
        <v>#N/A</v>
      </c>
      <c r="F186" s="38">
        <f>'GS DATA'!M186</f>
        <v>0</v>
      </c>
      <c r="G186" s="39" t="e">
        <f>VLOOKUP($F186,'GS 제품코드'!$A:$C,3,0)</f>
        <v>#N/A</v>
      </c>
      <c r="H186" s="40">
        <f>'GS DATA'!L186</f>
        <v>0</v>
      </c>
      <c r="I186" s="41">
        <f>'GS DATA'!Q186</f>
        <v>0</v>
      </c>
      <c r="J186" s="42">
        <f>'GS DATA'!S186</f>
        <v>0</v>
      </c>
      <c r="K186" s="43">
        <f t="shared" si="8"/>
        <v>0</v>
      </c>
    </row>
    <row r="187" spans="1:11" ht="15.6">
      <c r="A187" s="49">
        <f>'GS DATA'!X187</f>
        <v>0</v>
      </c>
      <c r="B187" s="4">
        <f>'GS DATA'!J187</f>
        <v>0</v>
      </c>
      <c r="C187" s="37" t="e">
        <f>VLOOKUP(B187,'GS 점포명'!A:B,2,0)</f>
        <v>#N/A</v>
      </c>
      <c r="D187" s="4">
        <f>'GS DATA'!J187</f>
        <v>0</v>
      </c>
      <c r="E187" s="37" t="e">
        <f>VLOOKUP(D187,'GS 점포명'!A:B,2,0)</f>
        <v>#N/A</v>
      </c>
      <c r="F187" s="38">
        <f>'GS DATA'!M187</f>
        <v>0</v>
      </c>
      <c r="G187" s="39" t="e">
        <f>VLOOKUP($F187,'GS 제품코드'!$A:$C,3,0)</f>
        <v>#N/A</v>
      </c>
      <c r="H187" s="40">
        <f>'GS DATA'!L187</f>
        <v>0</v>
      </c>
      <c r="I187" s="41">
        <f>'GS DATA'!Q187</f>
        <v>0</v>
      </c>
      <c r="J187" s="42">
        <f>'GS DATA'!S187</f>
        <v>0</v>
      </c>
      <c r="K187" s="43">
        <f t="shared" si="8"/>
        <v>0</v>
      </c>
    </row>
    <row r="188" spans="1:11" ht="15.6">
      <c r="A188" s="49">
        <f>'GS DATA'!X188</f>
        <v>0</v>
      </c>
      <c r="B188" s="4">
        <f>'GS DATA'!J188</f>
        <v>0</v>
      </c>
      <c r="C188" s="37" t="e">
        <f>VLOOKUP(B188,'GS 점포명'!A:B,2,0)</f>
        <v>#N/A</v>
      </c>
      <c r="D188" s="4">
        <f>'GS DATA'!J188</f>
        <v>0</v>
      </c>
      <c r="E188" s="37" t="e">
        <f>VLOOKUP(D188,'GS 점포명'!A:B,2,0)</f>
        <v>#N/A</v>
      </c>
      <c r="F188" s="38">
        <f>'GS DATA'!M188</f>
        <v>0</v>
      </c>
      <c r="G188" s="39" t="e">
        <f>VLOOKUP($F188,'GS 제품코드'!$A:$C,3,0)</f>
        <v>#N/A</v>
      </c>
      <c r="H188" s="40">
        <f>'GS DATA'!L188</f>
        <v>0</v>
      </c>
      <c r="I188" s="41">
        <f>'GS DATA'!Q188</f>
        <v>0</v>
      </c>
      <c r="J188" s="42">
        <f>'GS DATA'!S188</f>
        <v>0</v>
      </c>
      <c r="K188" s="43">
        <f t="shared" si="8"/>
        <v>0</v>
      </c>
    </row>
    <row r="189" spans="1:11" ht="15.6">
      <c r="A189" s="49">
        <f>'GS DATA'!X189</f>
        <v>0</v>
      </c>
      <c r="B189" s="4">
        <f>'GS DATA'!J189</f>
        <v>0</v>
      </c>
      <c r="C189" s="37" t="e">
        <f>VLOOKUP(B189,'GS 점포명'!A:B,2,0)</f>
        <v>#N/A</v>
      </c>
      <c r="D189" s="4">
        <f>'GS DATA'!J189</f>
        <v>0</v>
      </c>
      <c r="E189" s="37" t="e">
        <f>VLOOKUP(D189,'GS 점포명'!A:B,2,0)</f>
        <v>#N/A</v>
      </c>
      <c r="F189" s="38">
        <f>'GS DATA'!M189</f>
        <v>0</v>
      </c>
      <c r="G189" s="39" t="e">
        <f>VLOOKUP($F189,'GS 제품코드'!$A:$C,3,0)</f>
        <v>#N/A</v>
      </c>
      <c r="H189" s="40">
        <f>'GS DATA'!L189</f>
        <v>0</v>
      </c>
      <c r="I189" s="41">
        <f>'GS DATA'!Q189</f>
        <v>0</v>
      </c>
      <c r="J189" s="42">
        <f>'GS DATA'!S189</f>
        <v>0</v>
      </c>
      <c r="K189" s="43">
        <f t="shared" si="8"/>
        <v>0</v>
      </c>
    </row>
    <row r="190" spans="1:11" ht="15.6">
      <c r="A190" s="49">
        <f>'GS DATA'!X190</f>
        <v>0</v>
      </c>
      <c r="B190" s="4">
        <f>'GS DATA'!J190</f>
        <v>0</v>
      </c>
      <c r="C190" s="37" t="e">
        <f>VLOOKUP(B190,'GS 점포명'!A:B,2,0)</f>
        <v>#N/A</v>
      </c>
      <c r="D190" s="4">
        <f>'GS DATA'!J190</f>
        <v>0</v>
      </c>
      <c r="E190" s="37" t="e">
        <f>VLOOKUP(D190,'GS 점포명'!A:B,2,0)</f>
        <v>#N/A</v>
      </c>
      <c r="F190" s="38">
        <f>'GS DATA'!M190</f>
        <v>0</v>
      </c>
      <c r="G190" s="39" t="e">
        <f>VLOOKUP($F190,'GS 제품코드'!$A:$C,3,0)</f>
        <v>#N/A</v>
      </c>
      <c r="H190" s="40">
        <f>'GS DATA'!L190</f>
        <v>0</v>
      </c>
      <c r="I190" s="41">
        <f>'GS DATA'!Q190</f>
        <v>0</v>
      </c>
      <c r="J190" s="42">
        <f>'GS DATA'!S190</f>
        <v>0</v>
      </c>
      <c r="K190" s="43">
        <f t="shared" si="8"/>
        <v>0</v>
      </c>
    </row>
    <row r="191" spans="1:11" ht="15.6">
      <c r="A191" s="49">
        <f>'GS DATA'!X191</f>
        <v>0</v>
      </c>
      <c r="B191" s="4">
        <f>'GS DATA'!J191</f>
        <v>0</v>
      </c>
      <c r="C191" s="37" t="e">
        <f>VLOOKUP(B191,'GS 점포명'!A:B,2,0)</f>
        <v>#N/A</v>
      </c>
      <c r="D191" s="4">
        <f>'GS DATA'!J191</f>
        <v>0</v>
      </c>
      <c r="E191" s="37" t="e">
        <f>VLOOKUP(D191,'GS 점포명'!A:B,2,0)</f>
        <v>#N/A</v>
      </c>
      <c r="F191" s="38">
        <f>'GS DATA'!M191</f>
        <v>0</v>
      </c>
      <c r="G191" s="39" t="e">
        <f>VLOOKUP($F191,'GS 제품코드'!$A:$C,3,0)</f>
        <v>#N/A</v>
      </c>
      <c r="H191" s="40">
        <f>'GS DATA'!L191</f>
        <v>0</v>
      </c>
      <c r="I191" s="41">
        <f>'GS DATA'!Q191</f>
        <v>0</v>
      </c>
      <c r="J191" s="42">
        <f>'GS DATA'!S191</f>
        <v>0</v>
      </c>
      <c r="K191" s="43">
        <f t="shared" si="8"/>
        <v>0</v>
      </c>
    </row>
    <row r="192" spans="1:11" ht="15.6">
      <c r="A192" s="49">
        <f>'GS DATA'!X192</f>
        <v>0</v>
      </c>
      <c r="B192" s="4">
        <f>'GS DATA'!J192</f>
        <v>0</v>
      </c>
      <c r="C192" s="37" t="e">
        <f>VLOOKUP(B192,'GS 점포명'!A:B,2,0)</f>
        <v>#N/A</v>
      </c>
      <c r="D192" s="4">
        <f>'GS DATA'!J192</f>
        <v>0</v>
      </c>
      <c r="E192" s="37" t="e">
        <f>VLOOKUP(D192,'GS 점포명'!A:B,2,0)</f>
        <v>#N/A</v>
      </c>
      <c r="F192" s="38">
        <f>'GS DATA'!M192</f>
        <v>0</v>
      </c>
      <c r="G192" s="39" t="e">
        <f>VLOOKUP($F192,'GS 제품코드'!$A:$C,3,0)</f>
        <v>#N/A</v>
      </c>
      <c r="H192" s="40">
        <f>'GS DATA'!L192</f>
        <v>0</v>
      </c>
      <c r="I192" s="41">
        <f>'GS DATA'!Q192</f>
        <v>0</v>
      </c>
      <c r="J192" s="42">
        <f>'GS DATA'!S192</f>
        <v>0</v>
      </c>
      <c r="K192" s="43">
        <f t="shared" si="8"/>
        <v>0</v>
      </c>
    </row>
    <row r="193" spans="1:11" ht="15.6">
      <c r="A193" s="49">
        <f>'GS DATA'!X193</f>
        <v>0</v>
      </c>
      <c r="B193" s="4">
        <f>'GS DATA'!J193</f>
        <v>0</v>
      </c>
      <c r="C193" s="37" t="e">
        <f>VLOOKUP(B193,'GS 점포명'!A:B,2,0)</f>
        <v>#N/A</v>
      </c>
      <c r="D193" s="4">
        <f>'GS DATA'!J193</f>
        <v>0</v>
      </c>
      <c r="E193" s="37" t="e">
        <f>VLOOKUP(D193,'GS 점포명'!A:B,2,0)</f>
        <v>#N/A</v>
      </c>
      <c r="F193" s="38">
        <f>'GS DATA'!M193</f>
        <v>0</v>
      </c>
      <c r="G193" s="39" t="e">
        <f>VLOOKUP($F193,'GS 제품코드'!$A:$C,3,0)</f>
        <v>#N/A</v>
      </c>
      <c r="H193" s="40">
        <f>'GS DATA'!L193</f>
        <v>0</v>
      </c>
      <c r="I193" s="41">
        <f>'GS DATA'!Q193</f>
        <v>0</v>
      </c>
      <c r="J193" s="42">
        <f>'GS DATA'!S193</f>
        <v>0</v>
      </c>
      <c r="K193" s="43">
        <f t="shared" si="8"/>
        <v>0</v>
      </c>
    </row>
    <row r="194" spans="1:11" ht="15.6">
      <c r="A194" s="49">
        <f>'GS DATA'!X194</f>
        <v>0</v>
      </c>
      <c r="B194" s="4">
        <f>'GS DATA'!J194</f>
        <v>0</v>
      </c>
      <c r="C194" s="37" t="e">
        <f>VLOOKUP(B194,'GS 점포명'!A:B,2,0)</f>
        <v>#N/A</v>
      </c>
      <c r="D194" s="4">
        <f>'GS DATA'!J194</f>
        <v>0</v>
      </c>
      <c r="E194" s="37" t="e">
        <f>VLOOKUP(D194,'GS 점포명'!A:B,2,0)</f>
        <v>#N/A</v>
      </c>
      <c r="F194" s="38">
        <f>'GS DATA'!M194</f>
        <v>0</v>
      </c>
      <c r="G194" s="39" t="e">
        <f>VLOOKUP($F194,'GS 제품코드'!$A:$C,3,0)</f>
        <v>#N/A</v>
      </c>
      <c r="H194" s="40">
        <f>'GS DATA'!L194</f>
        <v>0</v>
      </c>
      <c r="I194" s="41">
        <f>'GS DATA'!Q194</f>
        <v>0</v>
      </c>
      <c r="J194" s="42">
        <f>'GS DATA'!S194</f>
        <v>0</v>
      </c>
      <c r="K194" s="43">
        <f t="shared" si="8"/>
        <v>0</v>
      </c>
    </row>
    <row r="195" spans="1:11" ht="15.6">
      <c r="A195" s="49">
        <f>'GS DATA'!X195</f>
        <v>0</v>
      </c>
      <c r="B195" s="4">
        <f>'GS DATA'!J195</f>
        <v>0</v>
      </c>
      <c r="C195" s="37" t="e">
        <f>VLOOKUP(B195,'GS 점포명'!A:B,2,0)</f>
        <v>#N/A</v>
      </c>
      <c r="D195" s="4">
        <f>'GS DATA'!J195</f>
        <v>0</v>
      </c>
      <c r="E195" s="37" t="e">
        <f>VLOOKUP(D195,'GS 점포명'!A:B,2,0)</f>
        <v>#N/A</v>
      </c>
      <c r="F195" s="38">
        <f>'GS DATA'!M195</f>
        <v>0</v>
      </c>
      <c r="G195" s="39" t="e">
        <f>VLOOKUP($F195,'GS 제품코드'!$A:$C,3,0)</f>
        <v>#N/A</v>
      </c>
      <c r="H195" s="40">
        <f>'GS DATA'!L195</f>
        <v>0</v>
      </c>
      <c r="I195" s="41">
        <f>'GS DATA'!Q195</f>
        <v>0</v>
      </c>
      <c r="J195" s="42">
        <f>'GS DATA'!S195</f>
        <v>0</v>
      </c>
      <c r="K195" s="43">
        <f t="shared" si="8"/>
        <v>0</v>
      </c>
    </row>
    <row r="196" spans="1:11" ht="15.6">
      <c r="A196" s="49">
        <f>'GS DATA'!X196</f>
        <v>0</v>
      </c>
      <c r="B196" s="4">
        <f>'GS DATA'!J196</f>
        <v>0</v>
      </c>
      <c r="C196" s="37" t="e">
        <f>VLOOKUP(B196,'GS 점포명'!A:B,2,0)</f>
        <v>#N/A</v>
      </c>
      <c r="D196" s="4">
        <f>'GS DATA'!J196</f>
        <v>0</v>
      </c>
      <c r="E196" s="37" t="e">
        <f>VLOOKUP(D196,'GS 점포명'!A:B,2,0)</f>
        <v>#N/A</v>
      </c>
      <c r="F196" s="38">
        <f>'GS DATA'!M196</f>
        <v>0</v>
      </c>
      <c r="G196" s="39" t="e">
        <f>VLOOKUP($F196,'GS 제품코드'!$A:$C,3,0)</f>
        <v>#N/A</v>
      </c>
      <c r="H196" s="40">
        <f>'GS DATA'!L196</f>
        <v>0</v>
      </c>
      <c r="I196" s="41">
        <f>'GS DATA'!Q196</f>
        <v>0</v>
      </c>
      <c r="J196" s="42">
        <f>'GS DATA'!S196</f>
        <v>0</v>
      </c>
      <c r="K196" s="43">
        <f t="shared" si="8"/>
        <v>0</v>
      </c>
    </row>
    <row r="197" spans="1:11" ht="15.6">
      <c r="A197" s="49">
        <f>'GS DATA'!X197</f>
        <v>0</v>
      </c>
      <c r="B197" s="4">
        <f>'GS DATA'!J197</f>
        <v>0</v>
      </c>
      <c r="C197" s="37" t="e">
        <f>VLOOKUP(B197,'GS 점포명'!A:B,2,0)</f>
        <v>#N/A</v>
      </c>
      <c r="D197" s="4">
        <f>'GS DATA'!J197</f>
        <v>0</v>
      </c>
      <c r="E197" s="37" t="e">
        <f>VLOOKUP(D197,'GS 점포명'!A:B,2,0)</f>
        <v>#N/A</v>
      </c>
      <c r="F197" s="38">
        <f>'GS DATA'!M197</f>
        <v>0</v>
      </c>
      <c r="G197" s="39" t="e">
        <f>VLOOKUP($F197,'GS 제품코드'!$A:$C,3,0)</f>
        <v>#N/A</v>
      </c>
      <c r="H197" s="40">
        <f>'GS DATA'!L197</f>
        <v>0</v>
      </c>
      <c r="I197" s="41">
        <f>'GS DATA'!Q197</f>
        <v>0</v>
      </c>
      <c r="J197" s="42">
        <f>'GS DATA'!S197</f>
        <v>0</v>
      </c>
      <c r="K197" s="43">
        <f t="shared" si="8"/>
        <v>0</v>
      </c>
    </row>
    <row r="198" spans="1:11" ht="15.6">
      <c r="A198" s="49">
        <f>'GS DATA'!X198</f>
        <v>0</v>
      </c>
      <c r="B198" s="4">
        <f>'GS DATA'!J198</f>
        <v>0</v>
      </c>
      <c r="C198" s="37" t="e">
        <f>VLOOKUP(B198,'GS 점포명'!A:B,2,0)</f>
        <v>#N/A</v>
      </c>
      <c r="D198" s="4">
        <f>'GS DATA'!J198</f>
        <v>0</v>
      </c>
      <c r="E198" s="37" t="e">
        <f>VLOOKUP(D198,'GS 점포명'!A:B,2,0)</f>
        <v>#N/A</v>
      </c>
      <c r="F198" s="38">
        <f>'GS DATA'!M198</f>
        <v>0</v>
      </c>
      <c r="G198" s="39" t="e">
        <f>VLOOKUP($F198,'GS 제품코드'!$A:$C,3,0)</f>
        <v>#N/A</v>
      </c>
      <c r="H198" s="40">
        <f>'GS DATA'!L198</f>
        <v>0</v>
      </c>
      <c r="I198" s="41">
        <f>'GS DATA'!Q198</f>
        <v>0</v>
      </c>
      <c r="J198" s="42">
        <f>'GS DATA'!S198</f>
        <v>0</v>
      </c>
      <c r="K198" s="43">
        <f t="shared" si="8"/>
        <v>0</v>
      </c>
    </row>
    <row r="199" spans="1:11" ht="15.6">
      <c r="A199" s="49">
        <f>'GS DATA'!X199</f>
        <v>0</v>
      </c>
      <c r="B199" s="4">
        <f>'GS DATA'!J199</f>
        <v>0</v>
      </c>
      <c r="C199" s="37" t="e">
        <f>VLOOKUP(B199,'GS 점포명'!A:B,2,0)</f>
        <v>#N/A</v>
      </c>
      <c r="D199" s="4">
        <f>'GS DATA'!J199</f>
        <v>0</v>
      </c>
      <c r="E199" s="37" t="e">
        <f>VLOOKUP(D199,'GS 점포명'!A:B,2,0)</f>
        <v>#N/A</v>
      </c>
      <c r="F199" s="38">
        <f>'GS DATA'!M199</f>
        <v>0</v>
      </c>
      <c r="G199" s="39" t="e">
        <f>VLOOKUP($F199,'GS 제품코드'!$A:$C,3,0)</f>
        <v>#N/A</v>
      </c>
      <c r="H199" s="40">
        <f>'GS DATA'!L199</f>
        <v>0</v>
      </c>
      <c r="I199" s="41">
        <f>'GS DATA'!Q199</f>
        <v>0</v>
      </c>
      <c r="J199" s="42">
        <f>'GS DATA'!S199</f>
        <v>0</v>
      </c>
      <c r="K199" s="43">
        <f t="shared" si="8"/>
        <v>0</v>
      </c>
    </row>
    <row r="200" spans="1:11" ht="15.6">
      <c r="A200" s="49">
        <f>'GS DATA'!X200</f>
        <v>0</v>
      </c>
      <c r="B200" s="4">
        <f>'GS DATA'!J200</f>
        <v>0</v>
      </c>
      <c r="C200" s="37" t="e">
        <f>VLOOKUP(B200,'GS 점포명'!A:B,2,0)</f>
        <v>#N/A</v>
      </c>
      <c r="D200" s="4">
        <f>'GS DATA'!J200</f>
        <v>0</v>
      </c>
      <c r="E200" s="37" t="e">
        <f>VLOOKUP(D200,'GS 점포명'!A:B,2,0)</f>
        <v>#N/A</v>
      </c>
      <c r="F200" s="38">
        <f>'GS DATA'!M200</f>
        <v>0</v>
      </c>
      <c r="G200" s="39" t="e">
        <f>VLOOKUP($F200,'GS 제품코드'!$A:$C,3,0)</f>
        <v>#N/A</v>
      </c>
      <c r="H200" s="40">
        <f>'GS DATA'!L200</f>
        <v>0</v>
      </c>
      <c r="I200" s="41">
        <f>'GS DATA'!Q200</f>
        <v>0</v>
      </c>
      <c r="J200" s="42">
        <f>'GS DATA'!S200</f>
        <v>0</v>
      </c>
      <c r="K200" s="43">
        <f t="shared" si="8"/>
        <v>0</v>
      </c>
    </row>
    <row r="201" spans="1:11" ht="15.6">
      <c r="A201" s="49">
        <f>'GS DATA'!X201</f>
        <v>0</v>
      </c>
      <c r="B201" s="4">
        <f>'GS DATA'!J201</f>
        <v>0</v>
      </c>
      <c r="C201" s="37" t="e">
        <f>VLOOKUP(B201,'GS 점포명'!A:B,2,0)</f>
        <v>#N/A</v>
      </c>
      <c r="D201" s="4">
        <f>'GS DATA'!J201</f>
        <v>0</v>
      </c>
      <c r="E201" s="37" t="e">
        <f>VLOOKUP(D201,'GS 점포명'!A:B,2,0)</f>
        <v>#N/A</v>
      </c>
      <c r="F201" s="38">
        <f>'GS DATA'!M201</f>
        <v>0</v>
      </c>
      <c r="G201" s="39" t="e">
        <f>VLOOKUP($F201,'GS 제품코드'!$A:$C,3,0)</f>
        <v>#N/A</v>
      </c>
      <c r="H201" s="40">
        <f>'GS DATA'!L201</f>
        <v>0</v>
      </c>
      <c r="I201" s="41">
        <f>'GS DATA'!Q201</f>
        <v>0</v>
      </c>
      <c r="J201" s="42">
        <f>'GS DATA'!S201</f>
        <v>0</v>
      </c>
      <c r="K201" s="43">
        <f t="shared" si="8"/>
        <v>0</v>
      </c>
    </row>
    <row r="202" spans="1:11" ht="15.6">
      <c r="A202" s="49">
        <f>'GS DATA'!X202</f>
        <v>0</v>
      </c>
      <c r="B202" s="4">
        <f>'GS DATA'!J202</f>
        <v>0</v>
      </c>
      <c r="C202" s="37" t="e">
        <f>VLOOKUP(B202,'GS 점포명'!A:B,2,0)</f>
        <v>#N/A</v>
      </c>
      <c r="D202" s="4">
        <f>'GS DATA'!J202</f>
        <v>0</v>
      </c>
      <c r="E202" s="37" t="e">
        <f>VLOOKUP(D202,'GS 점포명'!A:B,2,0)</f>
        <v>#N/A</v>
      </c>
      <c r="F202" s="38">
        <f>'GS DATA'!M202</f>
        <v>0</v>
      </c>
      <c r="G202" s="39" t="e">
        <f>VLOOKUP($F202,'GS 제품코드'!$A:$C,3,0)</f>
        <v>#N/A</v>
      </c>
      <c r="H202" s="40">
        <f>'GS DATA'!L202</f>
        <v>0</v>
      </c>
      <c r="I202" s="41">
        <f>'GS DATA'!Q202</f>
        <v>0</v>
      </c>
      <c r="J202" s="42">
        <f>'GS DATA'!S202</f>
        <v>0</v>
      </c>
      <c r="K202" s="43">
        <f t="shared" si="8"/>
        <v>0</v>
      </c>
    </row>
    <row r="203" spans="1:11" ht="15.6">
      <c r="A203" s="49">
        <f>'GS DATA'!X203</f>
        <v>0</v>
      </c>
      <c r="B203" s="4">
        <f>'GS DATA'!J203</f>
        <v>0</v>
      </c>
      <c r="C203" s="37" t="e">
        <f>VLOOKUP(B203,'GS 점포명'!A:B,2,0)</f>
        <v>#N/A</v>
      </c>
      <c r="D203" s="4">
        <f>'GS DATA'!J203</f>
        <v>0</v>
      </c>
      <c r="E203" s="37" t="e">
        <f>VLOOKUP(D203,'GS 점포명'!A:B,2,0)</f>
        <v>#N/A</v>
      </c>
      <c r="F203" s="38">
        <f>'GS DATA'!M203</f>
        <v>0</v>
      </c>
      <c r="G203" s="39" t="e">
        <f>VLOOKUP($F203,'GS 제품코드'!$A:$C,3,0)</f>
        <v>#N/A</v>
      </c>
      <c r="H203" s="40">
        <f>'GS DATA'!L203</f>
        <v>0</v>
      </c>
      <c r="I203" s="41">
        <f>'GS DATA'!Q203</f>
        <v>0</v>
      </c>
      <c r="J203" s="42">
        <f>'GS DATA'!S203</f>
        <v>0</v>
      </c>
      <c r="K203" s="43">
        <f t="shared" si="8"/>
        <v>0</v>
      </c>
    </row>
    <row r="204" spans="1:11" ht="15.6">
      <c r="A204" s="49">
        <f>'GS DATA'!X204</f>
        <v>0</v>
      </c>
      <c r="B204" s="4">
        <f>'GS DATA'!J204</f>
        <v>0</v>
      </c>
      <c r="C204" s="37" t="e">
        <f>VLOOKUP(B204,'GS 점포명'!A:B,2,0)</f>
        <v>#N/A</v>
      </c>
      <c r="D204" s="4">
        <f>'GS DATA'!J204</f>
        <v>0</v>
      </c>
      <c r="E204" s="37" t="e">
        <f>VLOOKUP(D204,'GS 점포명'!A:B,2,0)</f>
        <v>#N/A</v>
      </c>
      <c r="F204" s="38">
        <f>'GS DATA'!M204</f>
        <v>0</v>
      </c>
      <c r="G204" s="39" t="e">
        <f>VLOOKUP($F204,'GS 제품코드'!$A:$C,3,0)</f>
        <v>#N/A</v>
      </c>
      <c r="H204" s="40">
        <f>'GS DATA'!L204</f>
        <v>0</v>
      </c>
      <c r="I204" s="41">
        <f>'GS DATA'!Q204</f>
        <v>0</v>
      </c>
      <c r="J204" s="42">
        <f>'GS DATA'!S204</f>
        <v>0</v>
      </c>
      <c r="K204" s="43">
        <f t="shared" si="8"/>
        <v>0</v>
      </c>
    </row>
    <row r="205" spans="1:11" ht="15.6">
      <c r="A205" s="49">
        <f>'GS DATA'!X205</f>
        <v>0</v>
      </c>
      <c r="B205" s="4">
        <f>'GS DATA'!J205</f>
        <v>0</v>
      </c>
      <c r="C205" s="37" t="e">
        <f>VLOOKUP(B205,'GS 점포명'!A:B,2,0)</f>
        <v>#N/A</v>
      </c>
      <c r="D205" s="4">
        <f>'GS DATA'!J205</f>
        <v>0</v>
      </c>
      <c r="E205" s="37" t="e">
        <f>VLOOKUP(D205,'GS 점포명'!A:B,2,0)</f>
        <v>#N/A</v>
      </c>
      <c r="F205" s="38">
        <f>'GS DATA'!M205</f>
        <v>0</v>
      </c>
      <c r="G205" s="39" t="e">
        <f>VLOOKUP($F205,'GS 제품코드'!$A:$C,3,0)</f>
        <v>#N/A</v>
      </c>
      <c r="H205" s="40">
        <f>'GS DATA'!L205</f>
        <v>0</v>
      </c>
      <c r="I205" s="41">
        <f>'GS DATA'!Q205</f>
        <v>0</v>
      </c>
      <c r="J205" s="42">
        <f>'GS DATA'!S205</f>
        <v>0</v>
      </c>
      <c r="K205" s="43">
        <f t="shared" si="8"/>
        <v>0</v>
      </c>
    </row>
    <row r="206" spans="1:11" ht="15.6">
      <c r="A206" s="49">
        <f>'GS DATA'!X206</f>
        <v>0</v>
      </c>
      <c r="B206" s="4">
        <f>'GS DATA'!J206</f>
        <v>0</v>
      </c>
      <c r="C206" s="37" t="e">
        <f>VLOOKUP(B206,'GS 점포명'!A:B,2,0)</f>
        <v>#N/A</v>
      </c>
      <c r="D206" s="4">
        <f>'GS DATA'!J206</f>
        <v>0</v>
      </c>
      <c r="E206" s="37" t="e">
        <f>VLOOKUP(D206,'GS 점포명'!A:B,2,0)</f>
        <v>#N/A</v>
      </c>
      <c r="F206" s="38">
        <f>'GS DATA'!M206</f>
        <v>0</v>
      </c>
      <c r="G206" s="39" t="e">
        <f>VLOOKUP($F206,'GS 제품코드'!$A:$C,3,0)</f>
        <v>#N/A</v>
      </c>
      <c r="H206" s="40">
        <f>'GS DATA'!L206</f>
        <v>0</v>
      </c>
      <c r="I206" s="41">
        <f>'GS DATA'!Q206</f>
        <v>0</v>
      </c>
      <c r="J206" s="42">
        <f>'GS DATA'!S206</f>
        <v>0</v>
      </c>
      <c r="K206" s="43">
        <f t="shared" si="8"/>
        <v>0</v>
      </c>
    </row>
    <row r="207" spans="1:11" ht="15.6">
      <c r="A207" s="49">
        <f>'GS DATA'!X207</f>
        <v>0</v>
      </c>
      <c r="B207" s="4">
        <f>'GS DATA'!J207</f>
        <v>0</v>
      </c>
      <c r="C207" s="37" t="e">
        <f>VLOOKUP(B207,'GS 점포명'!A:B,2,0)</f>
        <v>#N/A</v>
      </c>
      <c r="D207" s="4">
        <f>'GS DATA'!J207</f>
        <v>0</v>
      </c>
      <c r="E207" s="37" t="e">
        <f>VLOOKUP(D207,'GS 점포명'!A:B,2,0)</f>
        <v>#N/A</v>
      </c>
      <c r="F207" s="38">
        <f>'GS DATA'!M207</f>
        <v>0</v>
      </c>
      <c r="G207" s="39" t="e">
        <f>VLOOKUP($F207,'GS 제품코드'!$A:$C,3,0)</f>
        <v>#N/A</v>
      </c>
      <c r="H207" s="40">
        <f>'GS DATA'!L207</f>
        <v>0</v>
      </c>
      <c r="I207" s="41">
        <f>'GS DATA'!Q207</f>
        <v>0</v>
      </c>
      <c r="J207" s="42">
        <f>'GS DATA'!S207</f>
        <v>0</v>
      </c>
      <c r="K207" s="43">
        <f t="shared" si="8"/>
        <v>0</v>
      </c>
    </row>
    <row r="208" spans="1:11" ht="15.6">
      <c r="A208" s="49">
        <f>'GS DATA'!X208</f>
        <v>0</v>
      </c>
      <c r="B208" s="4">
        <f>'GS DATA'!J208</f>
        <v>0</v>
      </c>
      <c r="C208" s="37" t="e">
        <f>VLOOKUP(B208,'GS 점포명'!A:B,2,0)</f>
        <v>#N/A</v>
      </c>
      <c r="D208" s="4">
        <f>'GS DATA'!J208</f>
        <v>0</v>
      </c>
      <c r="E208" s="37" t="e">
        <f>VLOOKUP(D208,'GS 점포명'!A:B,2,0)</f>
        <v>#N/A</v>
      </c>
      <c r="F208" s="38">
        <f>'GS DATA'!M208</f>
        <v>0</v>
      </c>
      <c r="G208" s="39" t="e">
        <f>VLOOKUP($F208,'GS 제품코드'!$A:$C,3,0)</f>
        <v>#N/A</v>
      </c>
      <c r="H208" s="40">
        <f>'GS DATA'!L208</f>
        <v>0</v>
      </c>
      <c r="I208" s="41">
        <f>'GS DATA'!Q208</f>
        <v>0</v>
      </c>
      <c r="J208" s="42">
        <f>'GS DATA'!S208</f>
        <v>0</v>
      </c>
      <c r="K208" s="43">
        <f t="shared" si="8"/>
        <v>0</v>
      </c>
    </row>
    <row r="209" spans="1:11" ht="15.6">
      <c r="A209" s="49">
        <f>'GS DATA'!X209</f>
        <v>0</v>
      </c>
      <c r="B209" s="4">
        <f>'GS DATA'!J209</f>
        <v>0</v>
      </c>
      <c r="C209" s="37" t="e">
        <f>VLOOKUP(B209,'GS 점포명'!A:B,2,0)</f>
        <v>#N/A</v>
      </c>
      <c r="D209" s="4">
        <f>'GS DATA'!J209</f>
        <v>0</v>
      </c>
      <c r="E209" s="37" t="e">
        <f>VLOOKUP(D209,'GS 점포명'!A:B,2,0)</f>
        <v>#N/A</v>
      </c>
      <c r="F209" s="38">
        <f>'GS DATA'!M209</f>
        <v>0</v>
      </c>
      <c r="G209" s="39" t="e">
        <f>VLOOKUP($F209,'GS 제품코드'!$A:$C,3,0)</f>
        <v>#N/A</v>
      </c>
      <c r="H209" s="40">
        <f>'GS DATA'!L209</f>
        <v>0</v>
      </c>
      <c r="I209" s="41">
        <f>'GS DATA'!Q209</f>
        <v>0</v>
      </c>
      <c r="J209" s="42">
        <f>'GS DATA'!S209</f>
        <v>0</v>
      </c>
      <c r="K209" s="43">
        <f t="shared" si="8"/>
        <v>0</v>
      </c>
    </row>
    <row r="210" spans="1:11" ht="15.6">
      <c r="A210" s="49">
        <f>'GS DATA'!X210</f>
        <v>0</v>
      </c>
      <c r="B210" s="4">
        <f>'GS DATA'!J210</f>
        <v>0</v>
      </c>
      <c r="C210" s="37" t="e">
        <f>VLOOKUP(B210,'GS 점포명'!A:B,2,0)</f>
        <v>#N/A</v>
      </c>
      <c r="D210" s="4">
        <f>'GS DATA'!J210</f>
        <v>0</v>
      </c>
      <c r="E210" s="37" t="e">
        <f>VLOOKUP(D210,'GS 점포명'!A:B,2,0)</f>
        <v>#N/A</v>
      </c>
      <c r="F210" s="38">
        <f>'GS DATA'!M210</f>
        <v>0</v>
      </c>
      <c r="G210" s="39" t="e">
        <f>VLOOKUP($F210,'GS 제품코드'!$A:$C,3,0)</f>
        <v>#N/A</v>
      </c>
      <c r="H210" s="40">
        <f>'GS DATA'!L210</f>
        <v>0</v>
      </c>
      <c r="I210" s="41">
        <f>'GS DATA'!Q210</f>
        <v>0</v>
      </c>
      <c r="J210" s="42">
        <f>'GS DATA'!S210</f>
        <v>0</v>
      </c>
      <c r="K210" s="43">
        <f t="shared" si="8"/>
        <v>0</v>
      </c>
    </row>
    <row r="211" spans="1:11" ht="15.6">
      <c r="A211" s="49">
        <f>'GS DATA'!X211</f>
        <v>0</v>
      </c>
      <c r="B211" s="4">
        <f>'GS DATA'!J211</f>
        <v>0</v>
      </c>
      <c r="C211" s="37" t="e">
        <f>VLOOKUP(B211,'GS 점포명'!A:B,2,0)</f>
        <v>#N/A</v>
      </c>
      <c r="D211" s="4">
        <f>'GS DATA'!J211</f>
        <v>0</v>
      </c>
      <c r="E211" s="37" t="e">
        <f>VLOOKUP(D211,'GS 점포명'!A:B,2,0)</f>
        <v>#N/A</v>
      </c>
      <c r="F211" s="38">
        <f>'GS DATA'!M211</f>
        <v>0</v>
      </c>
      <c r="G211" s="39" t="e">
        <f>VLOOKUP($F211,'GS 제품코드'!$A:$C,3,0)</f>
        <v>#N/A</v>
      </c>
      <c r="H211" s="40">
        <f>'GS DATA'!L211</f>
        <v>0</v>
      </c>
      <c r="I211" s="41">
        <f>'GS DATA'!Q211</f>
        <v>0</v>
      </c>
      <c r="J211" s="42">
        <f>'GS DATA'!S211</f>
        <v>0</v>
      </c>
      <c r="K211" s="43">
        <f t="shared" si="8"/>
        <v>0</v>
      </c>
    </row>
    <row r="212" spans="1:11" ht="15.6">
      <c r="A212" s="49">
        <f>'GS DATA'!X212</f>
        <v>0</v>
      </c>
      <c r="B212" s="4">
        <f>'GS DATA'!J212</f>
        <v>0</v>
      </c>
      <c r="C212" s="37" t="e">
        <f>VLOOKUP(B212,'GS 점포명'!A:B,2,0)</f>
        <v>#N/A</v>
      </c>
      <c r="D212" s="4">
        <f>'GS DATA'!J212</f>
        <v>0</v>
      </c>
      <c r="E212" s="37" t="e">
        <f>VLOOKUP(D212,'GS 점포명'!A:B,2,0)</f>
        <v>#N/A</v>
      </c>
      <c r="F212" s="38">
        <f>'GS DATA'!M212</f>
        <v>0</v>
      </c>
      <c r="G212" s="39" t="e">
        <f>VLOOKUP($F212,'GS 제품코드'!$A:$C,3,0)</f>
        <v>#N/A</v>
      </c>
      <c r="H212" s="40">
        <f>'GS DATA'!L212</f>
        <v>0</v>
      </c>
      <c r="I212" s="41">
        <f>'GS DATA'!Q212</f>
        <v>0</v>
      </c>
      <c r="J212" s="42">
        <f>'GS DATA'!S212</f>
        <v>0</v>
      </c>
      <c r="K212" s="43">
        <f t="shared" si="8"/>
        <v>0</v>
      </c>
    </row>
    <row r="213" spans="1:11" ht="15.6">
      <c r="A213" s="49">
        <f>'GS DATA'!X213</f>
        <v>0</v>
      </c>
      <c r="B213" s="4">
        <f>'GS DATA'!J213</f>
        <v>0</v>
      </c>
      <c r="C213" s="37" t="e">
        <f>VLOOKUP(B213,'GS 점포명'!A:B,2,0)</f>
        <v>#N/A</v>
      </c>
      <c r="D213" s="4">
        <f>'GS DATA'!J213</f>
        <v>0</v>
      </c>
      <c r="E213" s="37" t="e">
        <f>VLOOKUP(D213,'GS 점포명'!A:B,2,0)</f>
        <v>#N/A</v>
      </c>
      <c r="F213" s="38">
        <f>'GS DATA'!M213</f>
        <v>0</v>
      </c>
      <c r="G213" s="39" t="e">
        <f>VLOOKUP($F213,'GS 제품코드'!$A:$C,3,0)</f>
        <v>#N/A</v>
      </c>
      <c r="H213" s="40">
        <f>'GS DATA'!L213</f>
        <v>0</v>
      </c>
      <c r="I213" s="41">
        <f>'GS DATA'!Q213</f>
        <v>0</v>
      </c>
      <c r="J213" s="42">
        <f>'GS DATA'!S213</f>
        <v>0</v>
      </c>
      <c r="K213" s="43">
        <f t="shared" si="8"/>
        <v>0</v>
      </c>
    </row>
    <row r="214" spans="1:11" ht="15.6">
      <c r="A214" s="49">
        <f>'GS DATA'!X214</f>
        <v>0</v>
      </c>
      <c r="B214" s="4">
        <f>'GS DATA'!J214</f>
        <v>0</v>
      </c>
      <c r="C214" s="37" t="e">
        <f>VLOOKUP(B214,'GS 점포명'!A:B,2,0)</f>
        <v>#N/A</v>
      </c>
      <c r="D214" s="4">
        <f>'GS DATA'!J214</f>
        <v>0</v>
      </c>
      <c r="E214" s="37" t="e">
        <f>VLOOKUP(D214,'GS 점포명'!A:B,2,0)</f>
        <v>#N/A</v>
      </c>
      <c r="F214" s="38">
        <f>'GS DATA'!M214</f>
        <v>0</v>
      </c>
      <c r="G214" s="39" t="e">
        <f>VLOOKUP($F214,'GS 제품코드'!$A:$C,3,0)</f>
        <v>#N/A</v>
      </c>
      <c r="H214" s="40">
        <f>'GS DATA'!L214</f>
        <v>0</v>
      </c>
      <c r="I214" s="41">
        <f>'GS DATA'!Q214</f>
        <v>0</v>
      </c>
      <c r="J214" s="42">
        <f>'GS DATA'!S214</f>
        <v>0</v>
      </c>
      <c r="K214" s="43">
        <f t="shared" si="8"/>
        <v>0</v>
      </c>
    </row>
    <row r="215" spans="1:11" ht="15.6">
      <c r="A215" s="49">
        <f>'GS DATA'!X215</f>
        <v>0</v>
      </c>
      <c r="B215" s="4">
        <f>'GS DATA'!J215</f>
        <v>0</v>
      </c>
      <c r="C215" s="37" t="e">
        <f>VLOOKUP(B215,'GS 점포명'!A:B,2,0)</f>
        <v>#N/A</v>
      </c>
      <c r="D215" s="4">
        <f>'GS DATA'!J215</f>
        <v>0</v>
      </c>
      <c r="E215" s="37" t="e">
        <f>VLOOKUP(D215,'GS 점포명'!A:B,2,0)</f>
        <v>#N/A</v>
      </c>
      <c r="F215" s="38">
        <f>'GS DATA'!M215</f>
        <v>0</v>
      </c>
      <c r="G215" s="39" t="e">
        <f>VLOOKUP($F215,'GS 제품코드'!$A:$C,3,0)</f>
        <v>#N/A</v>
      </c>
      <c r="H215" s="40">
        <f>'GS DATA'!L215</f>
        <v>0</v>
      </c>
      <c r="I215" s="41">
        <f>'GS DATA'!Q215</f>
        <v>0</v>
      </c>
      <c r="J215" s="42">
        <f>'GS DATA'!S215</f>
        <v>0</v>
      </c>
      <c r="K215" s="43">
        <f t="shared" si="8"/>
        <v>0</v>
      </c>
    </row>
    <row r="216" spans="1:11" ht="15.6">
      <c r="A216" s="49">
        <f>'GS DATA'!X216</f>
        <v>0</v>
      </c>
      <c r="B216" s="4">
        <f>'GS DATA'!J216</f>
        <v>0</v>
      </c>
      <c r="C216" s="37" t="e">
        <f>VLOOKUP(B216,'GS 점포명'!A:B,2,0)</f>
        <v>#N/A</v>
      </c>
      <c r="D216" s="4">
        <f>'GS DATA'!J216</f>
        <v>0</v>
      </c>
      <c r="E216" s="37" t="e">
        <f>VLOOKUP(D216,'GS 점포명'!A:B,2,0)</f>
        <v>#N/A</v>
      </c>
      <c r="F216" s="38">
        <f>'GS DATA'!M216</f>
        <v>0</v>
      </c>
      <c r="G216" s="39" t="e">
        <f>VLOOKUP($F216,'GS 제품코드'!$A:$C,3,0)</f>
        <v>#N/A</v>
      </c>
      <c r="H216" s="40">
        <f>'GS DATA'!L216</f>
        <v>0</v>
      </c>
      <c r="I216" s="41">
        <f>'GS DATA'!Q216</f>
        <v>0</v>
      </c>
      <c r="J216" s="42">
        <f>'GS DATA'!S216</f>
        <v>0</v>
      </c>
      <c r="K216" s="43">
        <f t="shared" si="8"/>
        <v>0</v>
      </c>
    </row>
    <row r="217" spans="1:11" ht="15.6">
      <c r="A217" s="49">
        <f>'GS DATA'!X217</f>
        <v>0</v>
      </c>
      <c r="B217" s="4">
        <f>'GS DATA'!J217</f>
        <v>0</v>
      </c>
      <c r="C217" s="37" t="e">
        <f>VLOOKUP(B217,'GS 점포명'!A:B,2,0)</f>
        <v>#N/A</v>
      </c>
      <c r="D217" s="4">
        <f>'GS DATA'!J217</f>
        <v>0</v>
      </c>
      <c r="E217" s="37" t="e">
        <f>VLOOKUP(D217,'GS 점포명'!A:B,2,0)</f>
        <v>#N/A</v>
      </c>
      <c r="F217" s="38">
        <f>'GS DATA'!M217</f>
        <v>0</v>
      </c>
      <c r="G217" s="39" t="e">
        <f>VLOOKUP($F217,'GS 제품코드'!$A:$C,3,0)</f>
        <v>#N/A</v>
      </c>
      <c r="H217" s="40">
        <f>'GS DATA'!L217</f>
        <v>0</v>
      </c>
      <c r="I217" s="41">
        <f>'GS DATA'!Q217</f>
        <v>0</v>
      </c>
      <c r="J217" s="42">
        <f>'GS DATA'!S217</f>
        <v>0</v>
      </c>
      <c r="K217" s="43">
        <f t="shared" si="8"/>
        <v>0</v>
      </c>
    </row>
    <row r="218" spans="1:11" ht="15.6">
      <c r="A218" s="49">
        <f>'GS DATA'!X218</f>
        <v>0</v>
      </c>
      <c r="B218" s="4">
        <f>'GS DATA'!J218</f>
        <v>0</v>
      </c>
      <c r="C218" s="37" t="e">
        <f>VLOOKUP(B218,'GS 점포명'!A:B,2,0)</f>
        <v>#N/A</v>
      </c>
      <c r="D218" s="4">
        <f>'GS DATA'!J218</f>
        <v>0</v>
      </c>
      <c r="E218" s="37" t="e">
        <f>VLOOKUP(D218,'GS 점포명'!A:B,2,0)</f>
        <v>#N/A</v>
      </c>
      <c r="F218" s="38">
        <f>'GS DATA'!M218</f>
        <v>0</v>
      </c>
      <c r="G218" s="39" t="e">
        <f>VLOOKUP($F218,'GS 제품코드'!$A:$C,3,0)</f>
        <v>#N/A</v>
      </c>
      <c r="H218" s="40">
        <f>'GS DATA'!L218</f>
        <v>0</v>
      </c>
      <c r="I218" s="41">
        <f>'GS DATA'!Q218</f>
        <v>0</v>
      </c>
      <c r="J218" s="42">
        <f>'GS DATA'!S218</f>
        <v>0</v>
      </c>
      <c r="K218" s="43">
        <f t="shared" si="8"/>
        <v>0</v>
      </c>
    </row>
    <row r="219" spans="1:11" ht="15.6">
      <c r="A219" s="49">
        <f>'GS DATA'!X219</f>
        <v>0</v>
      </c>
      <c r="B219" s="4">
        <f>'GS DATA'!J219</f>
        <v>0</v>
      </c>
      <c r="C219" s="37" t="e">
        <f>VLOOKUP(B219,'GS 점포명'!A:B,2,0)</f>
        <v>#N/A</v>
      </c>
      <c r="D219" s="4">
        <f>'GS DATA'!J219</f>
        <v>0</v>
      </c>
      <c r="E219" s="37" t="e">
        <f>VLOOKUP(D219,'GS 점포명'!A:B,2,0)</f>
        <v>#N/A</v>
      </c>
      <c r="F219" s="38">
        <f>'GS DATA'!M219</f>
        <v>0</v>
      </c>
      <c r="G219" s="39" t="e">
        <f>VLOOKUP($F219,'GS 제품코드'!$A:$C,3,0)</f>
        <v>#N/A</v>
      </c>
      <c r="H219" s="40">
        <f>'GS DATA'!L219</f>
        <v>0</v>
      </c>
      <c r="I219" s="41">
        <f>'GS DATA'!Q219</f>
        <v>0</v>
      </c>
      <c r="J219" s="42">
        <f>'GS DATA'!S219</f>
        <v>0</v>
      </c>
      <c r="K219" s="43">
        <f t="shared" si="8"/>
        <v>0</v>
      </c>
    </row>
    <row r="220" spans="1:11" ht="15.6">
      <c r="A220" s="49">
        <f>'GS DATA'!X220</f>
        <v>0</v>
      </c>
      <c r="B220" s="4">
        <f>'GS DATA'!J220</f>
        <v>0</v>
      </c>
      <c r="C220" s="37" t="e">
        <f>VLOOKUP(B220,'GS 점포명'!A:B,2,0)</f>
        <v>#N/A</v>
      </c>
      <c r="D220" s="4">
        <f>'GS DATA'!J220</f>
        <v>0</v>
      </c>
      <c r="E220" s="37" t="e">
        <f>VLOOKUP(D220,'GS 점포명'!A:B,2,0)</f>
        <v>#N/A</v>
      </c>
      <c r="F220" s="38">
        <f>'GS DATA'!M220</f>
        <v>0</v>
      </c>
      <c r="G220" s="39" t="e">
        <f>VLOOKUP($F220,'GS 제품코드'!$A:$C,3,0)</f>
        <v>#N/A</v>
      </c>
      <c r="H220" s="40">
        <f>'GS DATA'!L220</f>
        <v>0</v>
      </c>
      <c r="I220" s="41">
        <f>'GS DATA'!Q220</f>
        <v>0</v>
      </c>
      <c r="J220" s="42">
        <f>'GS DATA'!S220</f>
        <v>0</v>
      </c>
      <c r="K220" s="43">
        <f t="shared" si="8"/>
        <v>0</v>
      </c>
    </row>
    <row r="221" spans="1:11" ht="15.6">
      <c r="A221" s="49">
        <f>'GS DATA'!X221</f>
        <v>0</v>
      </c>
      <c r="B221" s="4">
        <f>'GS DATA'!J221</f>
        <v>0</v>
      </c>
      <c r="C221" s="37" t="e">
        <f>VLOOKUP(B221,'GS 점포명'!A:B,2,0)</f>
        <v>#N/A</v>
      </c>
      <c r="D221" s="4">
        <f>'GS DATA'!J221</f>
        <v>0</v>
      </c>
      <c r="E221" s="37" t="e">
        <f>VLOOKUP(D221,'GS 점포명'!A:B,2,0)</f>
        <v>#N/A</v>
      </c>
      <c r="F221" s="38">
        <f>'GS DATA'!M221</f>
        <v>0</v>
      </c>
      <c r="G221" s="39" t="e">
        <f>VLOOKUP($F221,'GS 제품코드'!$A:$C,3,0)</f>
        <v>#N/A</v>
      </c>
      <c r="H221" s="40">
        <f>'GS DATA'!L221</f>
        <v>0</v>
      </c>
      <c r="I221" s="41">
        <f>'GS DATA'!Q221</f>
        <v>0</v>
      </c>
      <c r="J221" s="42">
        <f>'GS DATA'!S221</f>
        <v>0</v>
      </c>
      <c r="K221" s="43">
        <f t="shared" si="8"/>
        <v>0</v>
      </c>
    </row>
    <row r="222" spans="1:11" ht="15.6">
      <c r="A222" s="49">
        <f>'GS DATA'!X222</f>
        <v>0</v>
      </c>
      <c r="B222" s="4">
        <f>'GS DATA'!J222</f>
        <v>0</v>
      </c>
      <c r="C222" s="37" t="e">
        <f>VLOOKUP(B222,'GS 점포명'!A:B,2,0)</f>
        <v>#N/A</v>
      </c>
      <c r="D222" s="4">
        <f>'GS DATA'!J222</f>
        <v>0</v>
      </c>
      <c r="E222" s="37" t="e">
        <f>VLOOKUP(D222,'GS 점포명'!A:B,2,0)</f>
        <v>#N/A</v>
      </c>
      <c r="F222" s="38">
        <f>'GS DATA'!M222</f>
        <v>0</v>
      </c>
      <c r="G222" s="39" t="e">
        <f>VLOOKUP($F222,'GS 제품코드'!$A:$C,3,0)</f>
        <v>#N/A</v>
      </c>
      <c r="H222" s="40">
        <f>'GS DATA'!L222</f>
        <v>0</v>
      </c>
      <c r="I222" s="41">
        <f>'GS DATA'!Q222</f>
        <v>0</v>
      </c>
      <c r="J222" s="42">
        <f>'GS DATA'!S222</f>
        <v>0</v>
      </c>
      <c r="K222" s="43">
        <f t="shared" si="8"/>
        <v>0</v>
      </c>
    </row>
    <row r="223" spans="1:11" ht="15.6">
      <c r="A223" s="49">
        <f>'GS DATA'!X223</f>
        <v>0</v>
      </c>
      <c r="B223" s="4">
        <f>'GS DATA'!J223</f>
        <v>0</v>
      </c>
      <c r="C223" s="37" t="e">
        <f>VLOOKUP(B223,'GS 점포명'!A:B,2,0)</f>
        <v>#N/A</v>
      </c>
      <c r="D223" s="4">
        <f>'GS DATA'!J223</f>
        <v>0</v>
      </c>
      <c r="E223" s="37" t="e">
        <f>VLOOKUP(D223,'GS 점포명'!A:B,2,0)</f>
        <v>#N/A</v>
      </c>
      <c r="F223" s="38">
        <f>'GS DATA'!M223</f>
        <v>0</v>
      </c>
      <c r="G223" s="39" t="e">
        <f>VLOOKUP($F223,'GS 제품코드'!$A:$C,3,0)</f>
        <v>#N/A</v>
      </c>
      <c r="H223" s="40">
        <f>'GS DATA'!L223</f>
        <v>0</v>
      </c>
      <c r="I223" s="41">
        <f>'GS DATA'!Q223</f>
        <v>0</v>
      </c>
      <c r="J223" s="42">
        <f>'GS DATA'!S223</f>
        <v>0</v>
      </c>
      <c r="K223" s="43">
        <f t="shared" si="8"/>
        <v>0</v>
      </c>
    </row>
    <row r="224" spans="1:11" ht="15.6">
      <c r="A224" s="49">
        <f>'GS DATA'!X224</f>
        <v>0</v>
      </c>
      <c r="B224" s="4">
        <f>'GS DATA'!J224</f>
        <v>0</v>
      </c>
      <c r="C224" s="37" t="e">
        <f>VLOOKUP(B224,'GS 점포명'!A:B,2,0)</f>
        <v>#N/A</v>
      </c>
      <c r="D224" s="4">
        <f>'GS DATA'!J224</f>
        <v>0</v>
      </c>
      <c r="E224" s="37" t="e">
        <f>VLOOKUP(D224,'GS 점포명'!A:B,2,0)</f>
        <v>#N/A</v>
      </c>
      <c r="F224" s="38">
        <f>'GS DATA'!M224</f>
        <v>0</v>
      </c>
      <c r="G224" s="39" t="e">
        <f>VLOOKUP($F224,'GS 제품코드'!$A:$C,3,0)</f>
        <v>#N/A</v>
      </c>
      <c r="H224" s="40">
        <f>'GS DATA'!L224</f>
        <v>0</v>
      </c>
      <c r="I224" s="41">
        <f>'GS DATA'!Q224</f>
        <v>0</v>
      </c>
      <c r="J224" s="42">
        <f>'GS DATA'!S224</f>
        <v>0</v>
      </c>
      <c r="K224" s="43">
        <f t="shared" si="8"/>
        <v>0</v>
      </c>
    </row>
    <row r="225" spans="1:11" ht="15.6">
      <c r="A225" s="49">
        <f>'GS DATA'!X225</f>
        <v>0</v>
      </c>
      <c r="B225" s="4">
        <f>'GS DATA'!J225</f>
        <v>0</v>
      </c>
      <c r="C225" s="37" t="e">
        <f>VLOOKUP(B225,'GS 점포명'!A:B,2,0)</f>
        <v>#N/A</v>
      </c>
      <c r="D225" s="4">
        <f>'GS DATA'!J225</f>
        <v>0</v>
      </c>
      <c r="E225" s="37" t="e">
        <f>VLOOKUP(D225,'GS 점포명'!A:B,2,0)</f>
        <v>#N/A</v>
      </c>
      <c r="F225" s="38">
        <f>'GS DATA'!M225</f>
        <v>0</v>
      </c>
      <c r="G225" s="39" t="e">
        <f>VLOOKUP($F225,'GS 제품코드'!$A:$C,3,0)</f>
        <v>#N/A</v>
      </c>
      <c r="H225" s="40">
        <f>'GS DATA'!L225</f>
        <v>0</v>
      </c>
      <c r="I225" s="41">
        <f>'GS DATA'!Q225</f>
        <v>0</v>
      </c>
      <c r="J225" s="42">
        <f>'GS DATA'!S225</f>
        <v>0</v>
      </c>
      <c r="K225" s="43">
        <f t="shared" si="8"/>
        <v>0</v>
      </c>
    </row>
    <row r="226" spans="1:11" ht="15.6">
      <c r="A226" s="49">
        <f>'GS DATA'!X226</f>
        <v>0</v>
      </c>
      <c r="B226" s="4">
        <f>'GS DATA'!J226</f>
        <v>0</v>
      </c>
      <c r="C226" s="37" t="e">
        <f>VLOOKUP(B226,'GS 점포명'!A:B,2,0)</f>
        <v>#N/A</v>
      </c>
      <c r="D226" s="4">
        <f>'GS DATA'!J226</f>
        <v>0</v>
      </c>
      <c r="E226" s="37" t="e">
        <f>VLOOKUP(D226,'GS 점포명'!A:B,2,0)</f>
        <v>#N/A</v>
      </c>
      <c r="F226" s="38">
        <f>'GS DATA'!M226</f>
        <v>0</v>
      </c>
      <c r="G226" s="39" t="e">
        <f>VLOOKUP($F226,'GS 제품코드'!$A:$C,3,0)</f>
        <v>#N/A</v>
      </c>
      <c r="H226" s="40">
        <f>'GS DATA'!L226</f>
        <v>0</v>
      </c>
      <c r="I226" s="41">
        <f>'GS DATA'!Q226</f>
        <v>0</v>
      </c>
      <c r="J226" s="42">
        <f>'GS DATA'!S226</f>
        <v>0</v>
      </c>
      <c r="K226" s="43">
        <f t="shared" si="8"/>
        <v>0</v>
      </c>
    </row>
    <row r="227" spans="1:11" ht="15.6">
      <c r="A227" s="49">
        <f>'GS DATA'!X227</f>
        <v>0</v>
      </c>
      <c r="B227" s="4">
        <f>'GS DATA'!J227</f>
        <v>0</v>
      </c>
      <c r="C227" s="37" t="e">
        <f>VLOOKUP(B227,'GS 점포명'!A:B,2,0)</f>
        <v>#N/A</v>
      </c>
      <c r="D227" s="4">
        <f>'GS DATA'!J227</f>
        <v>0</v>
      </c>
      <c r="E227" s="37" t="e">
        <f>VLOOKUP(D227,'GS 점포명'!A:B,2,0)</f>
        <v>#N/A</v>
      </c>
      <c r="F227" s="38">
        <f>'GS DATA'!M227</f>
        <v>0</v>
      </c>
      <c r="G227" s="39" t="e">
        <f>VLOOKUP($F227,'GS 제품코드'!$A:$C,3,0)</f>
        <v>#N/A</v>
      </c>
      <c r="H227" s="40">
        <f>'GS DATA'!L227</f>
        <v>0</v>
      </c>
      <c r="I227" s="41">
        <f>'GS DATA'!Q227</f>
        <v>0</v>
      </c>
      <c r="J227" s="42">
        <f>'GS DATA'!S227</f>
        <v>0</v>
      </c>
      <c r="K227" s="43">
        <f t="shared" ref="K227:K290" si="9">I227*J227</f>
        <v>0</v>
      </c>
    </row>
    <row r="228" spans="1:11" ht="15.6">
      <c r="A228" s="49">
        <f>'GS DATA'!X228</f>
        <v>0</v>
      </c>
      <c r="B228" s="4">
        <f>'GS DATA'!J228</f>
        <v>0</v>
      </c>
      <c r="C228" s="37" t="e">
        <f>VLOOKUP(B228,'GS 점포명'!A:B,2,0)</f>
        <v>#N/A</v>
      </c>
      <c r="D228" s="4">
        <f>'GS DATA'!J228</f>
        <v>0</v>
      </c>
      <c r="E228" s="37" t="e">
        <f>VLOOKUP(D228,'GS 점포명'!A:B,2,0)</f>
        <v>#N/A</v>
      </c>
      <c r="F228" s="38">
        <f>'GS DATA'!M228</f>
        <v>0</v>
      </c>
      <c r="G228" s="39" t="e">
        <f>VLOOKUP($F228,'GS 제품코드'!$A:$C,3,0)</f>
        <v>#N/A</v>
      </c>
      <c r="H228" s="40">
        <f>'GS DATA'!L228</f>
        <v>0</v>
      </c>
      <c r="I228" s="41">
        <f>'GS DATA'!Q228</f>
        <v>0</v>
      </c>
      <c r="J228" s="42">
        <f>'GS DATA'!S228</f>
        <v>0</v>
      </c>
      <c r="K228" s="43">
        <f t="shared" si="9"/>
        <v>0</v>
      </c>
    </row>
    <row r="229" spans="1:11" ht="15.6">
      <c r="A229" s="49">
        <f>'GS DATA'!X229</f>
        <v>0</v>
      </c>
      <c r="B229" s="4">
        <f>'GS DATA'!J229</f>
        <v>0</v>
      </c>
      <c r="C229" s="37" t="e">
        <f>VLOOKUP(B229,'GS 점포명'!A:B,2,0)</f>
        <v>#N/A</v>
      </c>
      <c r="D229" s="4">
        <f>'GS DATA'!J229</f>
        <v>0</v>
      </c>
      <c r="E229" s="37" t="e">
        <f>VLOOKUP(D229,'GS 점포명'!A:B,2,0)</f>
        <v>#N/A</v>
      </c>
      <c r="F229" s="38">
        <f>'GS DATA'!M229</f>
        <v>0</v>
      </c>
      <c r="G229" s="39" t="e">
        <f>VLOOKUP($F229,'GS 제품코드'!$A:$C,3,0)</f>
        <v>#N/A</v>
      </c>
      <c r="H229" s="40">
        <f>'GS DATA'!L229</f>
        <v>0</v>
      </c>
      <c r="I229" s="41">
        <f>'GS DATA'!Q229</f>
        <v>0</v>
      </c>
      <c r="J229" s="42">
        <f>'GS DATA'!S229</f>
        <v>0</v>
      </c>
      <c r="K229" s="43">
        <f t="shared" si="9"/>
        <v>0</v>
      </c>
    </row>
    <row r="230" spans="1:11" ht="15.6">
      <c r="A230" s="49">
        <f>'GS DATA'!X230</f>
        <v>0</v>
      </c>
      <c r="B230" s="4">
        <f>'GS DATA'!J230</f>
        <v>0</v>
      </c>
      <c r="C230" s="37" t="e">
        <f>VLOOKUP(B230,'GS 점포명'!A:B,2,0)</f>
        <v>#N/A</v>
      </c>
      <c r="D230" s="4">
        <f>'GS DATA'!J230</f>
        <v>0</v>
      </c>
      <c r="E230" s="37" t="e">
        <f>VLOOKUP(D230,'GS 점포명'!A:B,2,0)</f>
        <v>#N/A</v>
      </c>
      <c r="F230" s="38">
        <f>'GS DATA'!M230</f>
        <v>0</v>
      </c>
      <c r="G230" s="39" t="e">
        <f>VLOOKUP($F230,'GS 제품코드'!$A:$C,3,0)</f>
        <v>#N/A</v>
      </c>
      <c r="H230" s="40">
        <f>'GS DATA'!L230</f>
        <v>0</v>
      </c>
      <c r="I230" s="41">
        <f>'GS DATA'!Q230</f>
        <v>0</v>
      </c>
      <c r="J230" s="42">
        <f>'GS DATA'!S230</f>
        <v>0</v>
      </c>
      <c r="K230" s="43">
        <f t="shared" si="9"/>
        <v>0</v>
      </c>
    </row>
    <row r="231" spans="1:11" ht="15.6">
      <c r="A231" s="49">
        <f>'GS DATA'!X231</f>
        <v>0</v>
      </c>
      <c r="B231" s="4">
        <f>'GS DATA'!J231</f>
        <v>0</v>
      </c>
      <c r="C231" s="37" t="e">
        <f>VLOOKUP(B231,'GS 점포명'!A:B,2,0)</f>
        <v>#N/A</v>
      </c>
      <c r="D231" s="4">
        <f>'GS DATA'!J231</f>
        <v>0</v>
      </c>
      <c r="E231" s="37" t="e">
        <f>VLOOKUP(D231,'GS 점포명'!A:B,2,0)</f>
        <v>#N/A</v>
      </c>
      <c r="F231" s="38">
        <f>'GS DATA'!M231</f>
        <v>0</v>
      </c>
      <c r="G231" s="39" t="e">
        <f>VLOOKUP($F231,'GS 제품코드'!$A:$C,3,0)</f>
        <v>#N/A</v>
      </c>
      <c r="H231" s="40">
        <f>'GS DATA'!L231</f>
        <v>0</v>
      </c>
      <c r="I231" s="41">
        <f>'GS DATA'!Q231</f>
        <v>0</v>
      </c>
      <c r="J231" s="42">
        <f>'GS DATA'!S231</f>
        <v>0</v>
      </c>
      <c r="K231" s="43">
        <f t="shared" si="9"/>
        <v>0</v>
      </c>
    </row>
    <row r="232" spans="1:11" ht="15.6">
      <c r="A232" s="49">
        <f>'GS DATA'!X232</f>
        <v>0</v>
      </c>
      <c r="B232" s="4">
        <f>'GS DATA'!J232</f>
        <v>0</v>
      </c>
      <c r="C232" s="37" t="e">
        <f>VLOOKUP(B232,'GS 점포명'!A:B,2,0)</f>
        <v>#N/A</v>
      </c>
      <c r="D232" s="4">
        <f>'GS DATA'!J232</f>
        <v>0</v>
      </c>
      <c r="E232" s="37" t="e">
        <f>VLOOKUP(D232,'GS 점포명'!A:B,2,0)</f>
        <v>#N/A</v>
      </c>
      <c r="F232" s="38">
        <f>'GS DATA'!M232</f>
        <v>0</v>
      </c>
      <c r="G232" s="39" t="e">
        <f>VLOOKUP($F232,'GS 제품코드'!$A:$C,3,0)</f>
        <v>#N/A</v>
      </c>
      <c r="H232" s="40">
        <f>'GS DATA'!L232</f>
        <v>0</v>
      </c>
      <c r="I232" s="41">
        <f>'GS DATA'!Q232</f>
        <v>0</v>
      </c>
      <c r="J232" s="42">
        <f>'GS DATA'!S232</f>
        <v>0</v>
      </c>
      <c r="K232" s="43">
        <f t="shared" si="9"/>
        <v>0</v>
      </c>
    </row>
    <row r="233" spans="1:11" ht="15.6">
      <c r="A233" s="49">
        <f>'GS DATA'!X233</f>
        <v>0</v>
      </c>
      <c r="B233" s="4">
        <f>'GS DATA'!J233</f>
        <v>0</v>
      </c>
      <c r="C233" s="37" t="e">
        <f>VLOOKUP(B233,'GS 점포명'!A:B,2,0)</f>
        <v>#N/A</v>
      </c>
      <c r="D233" s="4">
        <f>'GS DATA'!J233</f>
        <v>0</v>
      </c>
      <c r="E233" s="37" t="e">
        <f>VLOOKUP(D233,'GS 점포명'!A:B,2,0)</f>
        <v>#N/A</v>
      </c>
      <c r="F233" s="38">
        <f>'GS DATA'!M233</f>
        <v>0</v>
      </c>
      <c r="G233" s="39" t="e">
        <f>VLOOKUP($F233,'GS 제품코드'!$A:$C,3,0)</f>
        <v>#N/A</v>
      </c>
      <c r="H233" s="40">
        <f>'GS DATA'!L233</f>
        <v>0</v>
      </c>
      <c r="I233" s="41">
        <f>'GS DATA'!Q233</f>
        <v>0</v>
      </c>
      <c r="J233" s="42">
        <f>'GS DATA'!S233</f>
        <v>0</v>
      </c>
      <c r="K233" s="43">
        <f t="shared" si="9"/>
        <v>0</v>
      </c>
    </row>
    <row r="234" spans="1:11" ht="15.6">
      <c r="A234" s="49">
        <f>'GS DATA'!X234</f>
        <v>0</v>
      </c>
      <c r="B234" s="4">
        <f>'GS DATA'!J234</f>
        <v>0</v>
      </c>
      <c r="C234" s="37" t="e">
        <f>VLOOKUP(B234,'GS 점포명'!A:B,2,0)</f>
        <v>#N/A</v>
      </c>
      <c r="D234" s="4">
        <f>'GS DATA'!J234</f>
        <v>0</v>
      </c>
      <c r="E234" s="37" t="e">
        <f>VLOOKUP(D234,'GS 점포명'!A:B,2,0)</f>
        <v>#N/A</v>
      </c>
      <c r="F234" s="38">
        <f>'GS DATA'!M234</f>
        <v>0</v>
      </c>
      <c r="G234" s="39" t="e">
        <f>VLOOKUP($F234,'GS 제품코드'!$A:$C,3,0)</f>
        <v>#N/A</v>
      </c>
      <c r="H234" s="40">
        <f>'GS DATA'!L234</f>
        <v>0</v>
      </c>
      <c r="I234" s="41">
        <f>'GS DATA'!Q234</f>
        <v>0</v>
      </c>
      <c r="J234" s="42">
        <f>'GS DATA'!S234</f>
        <v>0</v>
      </c>
      <c r="K234" s="43">
        <f t="shared" si="9"/>
        <v>0</v>
      </c>
    </row>
    <row r="235" spans="1:11" ht="15.6">
      <c r="A235" s="49">
        <f>'GS DATA'!X235</f>
        <v>0</v>
      </c>
      <c r="B235" s="4">
        <f>'GS DATA'!J235</f>
        <v>0</v>
      </c>
      <c r="C235" s="37" t="e">
        <f>VLOOKUP(B235,'GS 점포명'!A:B,2,0)</f>
        <v>#N/A</v>
      </c>
      <c r="D235" s="4">
        <f>'GS DATA'!J235</f>
        <v>0</v>
      </c>
      <c r="E235" s="37" t="e">
        <f>VLOOKUP(D235,'GS 점포명'!A:B,2,0)</f>
        <v>#N/A</v>
      </c>
      <c r="F235" s="38">
        <f>'GS DATA'!M235</f>
        <v>0</v>
      </c>
      <c r="G235" s="39" t="e">
        <f>VLOOKUP($F235,'GS 제품코드'!$A:$C,3,0)</f>
        <v>#N/A</v>
      </c>
      <c r="H235" s="40">
        <f>'GS DATA'!L235</f>
        <v>0</v>
      </c>
      <c r="I235" s="41">
        <f>'GS DATA'!Q235</f>
        <v>0</v>
      </c>
      <c r="J235" s="42">
        <f>'GS DATA'!S235</f>
        <v>0</v>
      </c>
      <c r="K235" s="43">
        <f t="shared" si="9"/>
        <v>0</v>
      </c>
    </row>
    <row r="236" spans="1:11" ht="15.6">
      <c r="A236" s="49">
        <f>'GS DATA'!X236</f>
        <v>0</v>
      </c>
      <c r="B236" s="4">
        <f>'GS DATA'!J236</f>
        <v>0</v>
      </c>
      <c r="C236" s="37" t="e">
        <f>VLOOKUP(B236,'GS 점포명'!A:B,2,0)</f>
        <v>#N/A</v>
      </c>
      <c r="D236" s="4">
        <f>'GS DATA'!J236</f>
        <v>0</v>
      </c>
      <c r="E236" s="37" t="e">
        <f>VLOOKUP(D236,'GS 점포명'!A:B,2,0)</f>
        <v>#N/A</v>
      </c>
      <c r="F236" s="38">
        <f>'GS DATA'!M236</f>
        <v>0</v>
      </c>
      <c r="G236" s="39" t="e">
        <f>VLOOKUP($F236,'GS 제품코드'!$A:$C,3,0)</f>
        <v>#N/A</v>
      </c>
      <c r="H236" s="40">
        <f>'GS DATA'!L236</f>
        <v>0</v>
      </c>
      <c r="I236" s="41">
        <f>'GS DATA'!Q236</f>
        <v>0</v>
      </c>
      <c r="J236" s="42">
        <f>'GS DATA'!S236</f>
        <v>0</v>
      </c>
      <c r="K236" s="43">
        <f t="shared" si="9"/>
        <v>0</v>
      </c>
    </row>
    <row r="237" spans="1:11" ht="15.6">
      <c r="A237" s="49">
        <f>'GS DATA'!X237</f>
        <v>0</v>
      </c>
      <c r="B237" s="4">
        <f>'GS DATA'!J237</f>
        <v>0</v>
      </c>
      <c r="C237" s="37" t="e">
        <f>VLOOKUP(B237,'GS 점포명'!A:B,2,0)</f>
        <v>#N/A</v>
      </c>
      <c r="D237" s="4">
        <f>'GS DATA'!J237</f>
        <v>0</v>
      </c>
      <c r="E237" s="37" t="e">
        <f>VLOOKUP(D237,'GS 점포명'!A:B,2,0)</f>
        <v>#N/A</v>
      </c>
      <c r="F237" s="38">
        <f>'GS DATA'!M237</f>
        <v>0</v>
      </c>
      <c r="G237" s="39" t="e">
        <f>VLOOKUP($F237,'GS 제품코드'!$A:$C,3,0)</f>
        <v>#N/A</v>
      </c>
      <c r="H237" s="40">
        <f>'GS DATA'!L237</f>
        <v>0</v>
      </c>
      <c r="I237" s="41">
        <f>'GS DATA'!Q237</f>
        <v>0</v>
      </c>
      <c r="J237" s="42">
        <f>'GS DATA'!S237</f>
        <v>0</v>
      </c>
      <c r="K237" s="43">
        <f t="shared" si="9"/>
        <v>0</v>
      </c>
    </row>
    <row r="238" spans="1:11" ht="15.6">
      <c r="A238" s="49">
        <f>'GS DATA'!X238</f>
        <v>0</v>
      </c>
      <c r="B238" s="4">
        <f>'GS DATA'!J238</f>
        <v>0</v>
      </c>
      <c r="C238" s="37" t="e">
        <f>VLOOKUP(B238,'GS 점포명'!A:B,2,0)</f>
        <v>#N/A</v>
      </c>
      <c r="D238" s="4">
        <f>'GS DATA'!J238</f>
        <v>0</v>
      </c>
      <c r="E238" s="37" t="e">
        <f>VLOOKUP(D238,'GS 점포명'!A:B,2,0)</f>
        <v>#N/A</v>
      </c>
      <c r="F238" s="38">
        <f>'GS DATA'!M238</f>
        <v>0</v>
      </c>
      <c r="G238" s="39" t="e">
        <f>VLOOKUP($F238,'GS 제품코드'!$A:$C,3,0)</f>
        <v>#N/A</v>
      </c>
      <c r="H238" s="40">
        <f>'GS DATA'!L238</f>
        <v>0</v>
      </c>
      <c r="I238" s="41">
        <f>'GS DATA'!Q238</f>
        <v>0</v>
      </c>
      <c r="J238" s="42">
        <f>'GS DATA'!S238</f>
        <v>0</v>
      </c>
      <c r="K238" s="43">
        <f t="shared" si="9"/>
        <v>0</v>
      </c>
    </row>
    <row r="239" spans="1:11" ht="15.6">
      <c r="A239" s="49">
        <f>'GS DATA'!X239</f>
        <v>0</v>
      </c>
      <c r="B239" s="4">
        <f>'GS DATA'!J239</f>
        <v>0</v>
      </c>
      <c r="C239" s="37" t="e">
        <f>VLOOKUP(B239,'GS 점포명'!A:B,2,0)</f>
        <v>#N/A</v>
      </c>
      <c r="D239" s="4">
        <f>'GS DATA'!J239</f>
        <v>0</v>
      </c>
      <c r="E239" s="37" t="e">
        <f>VLOOKUP(D239,'GS 점포명'!A:B,2,0)</f>
        <v>#N/A</v>
      </c>
      <c r="F239" s="38">
        <f>'GS DATA'!M239</f>
        <v>0</v>
      </c>
      <c r="G239" s="39" t="e">
        <f>VLOOKUP($F239,'GS 제품코드'!$A:$C,3,0)</f>
        <v>#N/A</v>
      </c>
      <c r="H239" s="40">
        <f>'GS DATA'!L239</f>
        <v>0</v>
      </c>
      <c r="I239" s="41">
        <f>'GS DATA'!Q239</f>
        <v>0</v>
      </c>
      <c r="J239" s="42">
        <f>'GS DATA'!S239</f>
        <v>0</v>
      </c>
      <c r="K239" s="43">
        <f t="shared" si="9"/>
        <v>0</v>
      </c>
    </row>
    <row r="240" spans="1:11" ht="15.6">
      <c r="A240" s="49">
        <f>'GS DATA'!X240</f>
        <v>0</v>
      </c>
      <c r="B240" s="4">
        <f>'GS DATA'!J240</f>
        <v>0</v>
      </c>
      <c r="C240" s="37" t="e">
        <f>VLOOKUP(B240,'GS 점포명'!A:B,2,0)</f>
        <v>#N/A</v>
      </c>
      <c r="D240" s="4">
        <f>'GS DATA'!J240</f>
        <v>0</v>
      </c>
      <c r="E240" s="37" t="e">
        <f>VLOOKUP(D240,'GS 점포명'!A:B,2,0)</f>
        <v>#N/A</v>
      </c>
      <c r="F240" s="38">
        <f>'GS DATA'!M240</f>
        <v>0</v>
      </c>
      <c r="G240" s="39" t="e">
        <f>VLOOKUP($F240,'GS 제품코드'!$A:$C,3,0)</f>
        <v>#N/A</v>
      </c>
      <c r="H240" s="40">
        <f>'GS DATA'!L240</f>
        <v>0</v>
      </c>
      <c r="I240" s="41">
        <f>'GS DATA'!Q240</f>
        <v>0</v>
      </c>
      <c r="J240" s="42">
        <f>'GS DATA'!S240</f>
        <v>0</v>
      </c>
      <c r="K240" s="43">
        <f t="shared" si="9"/>
        <v>0</v>
      </c>
    </row>
    <row r="241" spans="1:11" ht="15.6">
      <c r="A241" s="49">
        <f>'GS DATA'!X241</f>
        <v>0</v>
      </c>
      <c r="B241" s="4">
        <f>'GS DATA'!J241</f>
        <v>0</v>
      </c>
      <c r="C241" s="37" t="e">
        <f>VLOOKUP(B241,'GS 점포명'!A:B,2,0)</f>
        <v>#N/A</v>
      </c>
      <c r="D241" s="4">
        <f>'GS DATA'!J241</f>
        <v>0</v>
      </c>
      <c r="E241" s="37" t="e">
        <f>VLOOKUP(D241,'GS 점포명'!A:B,2,0)</f>
        <v>#N/A</v>
      </c>
      <c r="F241" s="38">
        <f>'GS DATA'!M241</f>
        <v>0</v>
      </c>
      <c r="G241" s="39" t="e">
        <f>VLOOKUP($F241,'GS 제품코드'!$A:$C,3,0)</f>
        <v>#N/A</v>
      </c>
      <c r="H241" s="40">
        <f>'GS DATA'!L241</f>
        <v>0</v>
      </c>
      <c r="I241" s="41">
        <f>'GS DATA'!Q241</f>
        <v>0</v>
      </c>
      <c r="J241" s="42">
        <f>'GS DATA'!S241</f>
        <v>0</v>
      </c>
      <c r="K241" s="43">
        <f t="shared" si="9"/>
        <v>0</v>
      </c>
    </row>
    <row r="242" spans="1:11" ht="15.6">
      <c r="A242" s="49">
        <f>'GS DATA'!X242</f>
        <v>0</v>
      </c>
      <c r="B242" s="4">
        <f>'GS DATA'!J242</f>
        <v>0</v>
      </c>
      <c r="C242" s="37" t="e">
        <f>VLOOKUP(B242,'GS 점포명'!A:B,2,0)</f>
        <v>#N/A</v>
      </c>
      <c r="D242" s="4">
        <f>'GS DATA'!J242</f>
        <v>0</v>
      </c>
      <c r="E242" s="37" t="e">
        <f>VLOOKUP(D242,'GS 점포명'!A:B,2,0)</f>
        <v>#N/A</v>
      </c>
      <c r="F242" s="38">
        <f>'GS DATA'!M242</f>
        <v>0</v>
      </c>
      <c r="G242" s="39" t="e">
        <f>VLOOKUP($F242,'GS 제품코드'!$A:$C,3,0)</f>
        <v>#N/A</v>
      </c>
      <c r="H242" s="40">
        <f>'GS DATA'!L242</f>
        <v>0</v>
      </c>
      <c r="I242" s="41">
        <f>'GS DATA'!Q242</f>
        <v>0</v>
      </c>
      <c r="J242" s="42">
        <f>'GS DATA'!S242</f>
        <v>0</v>
      </c>
      <c r="K242" s="43">
        <f t="shared" si="9"/>
        <v>0</v>
      </c>
    </row>
    <row r="243" spans="1:11" ht="15.6">
      <c r="A243" s="49">
        <f>'GS DATA'!X243</f>
        <v>0</v>
      </c>
      <c r="B243" s="4">
        <f>'GS DATA'!J243</f>
        <v>0</v>
      </c>
      <c r="C243" s="37" t="e">
        <f>VLOOKUP(B243,'GS 점포명'!A:B,2,0)</f>
        <v>#N/A</v>
      </c>
      <c r="D243" s="4">
        <f>'GS DATA'!J243</f>
        <v>0</v>
      </c>
      <c r="E243" s="37" t="e">
        <f>VLOOKUP(D243,'GS 점포명'!A:B,2,0)</f>
        <v>#N/A</v>
      </c>
      <c r="F243" s="38">
        <f>'GS DATA'!M243</f>
        <v>0</v>
      </c>
      <c r="G243" s="39" t="e">
        <f>VLOOKUP($F243,'GS 제품코드'!$A:$C,3,0)</f>
        <v>#N/A</v>
      </c>
      <c r="H243" s="40">
        <f>'GS DATA'!L243</f>
        <v>0</v>
      </c>
      <c r="I243" s="41">
        <f>'GS DATA'!Q243</f>
        <v>0</v>
      </c>
      <c r="J243" s="42">
        <f>'GS DATA'!S243</f>
        <v>0</v>
      </c>
      <c r="K243" s="43">
        <f t="shared" si="9"/>
        <v>0</v>
      </c>
    </row>
    <row r="244" spans="1:11" ht="15.6">
      <c r="A244" s="49">
        <f>'GS DATA'!X244</f>
        <v>0</v>
      </c>
      <c r="B244" s="4">
        <f>'GS DATA'!J244</f>
        <v>0</v>
      </c>
      <c r="C244" s="37" t="e">
        <f>VLOOKUP(B244,'GS 점포명'!A:B,2,0)</f>
        <v>#N/A</v>
      </c>
      <c r="D244" s="4">
        <f>'GS DATA'!J244</f>
        <v>0</v>
      </c>
      <c r="E244" s="37" t="e">
        <f>VLOOKUP(D244,'GS 점포명'!A:B,2,0)</f>
        <v>#N/A</v>
      </c>
      <c r="F244" s="38">
        <f>'GS DATA'!M244</f>
        <v>0</v>
      </c>
      <c r="G244" s="39" t="e">
        <f>VLOOKUP($F244,'GS 제품코드'!$A:$C,3,0)</f>
        <v>#N/A</v>
      </c>
      <c r="H244" s="40">
        <f>'GS DATA'!L244</f>
        <v>0</v>
      </c>
      <c r="I244" s="41">
        <f>'GS DATA'!Q244</f>
        <v>0</v>
      </c>
      <c r="J244" s="42">
        <f>'GS DATA'!S244</f>
        <v>0</v>
      </c>
      <c r="K244" s="43">
        <f t="shared" si="9"/>
        <v>0</v>
      </c>
    </row>
    <row r="245" spans="1:11" ht="15.6">
      <c r="A245" s="49">
        <f>'GS DATA'!X245</f>
        <v>0</v>
      </c>
      <c r="B245" s="4">
        <f>'GS DATA'!J245</f>
        <v>0</v>
      </c>
      <c r="C245" s="37" t="e">
        <f>VLOOKUP(B245,'GS 점포명'!A:B,2,0)</f>
        <v>#N/A</v>
      </c>
      <c r="D245" s="4">
        <f>'GS DATA'!J245</f>
        <v>0</v>
      </c>
      <c r="E245" s="37" t="e">
        <f>VLOOKUP(D245,'GS 점포명'!A:B,2,0)</f>
        <v>#N/A</v>
      </c>
      <c r="F245" s="38">
        <f>'GS DATA'!M245</f>
        <v>0</v>
      </c>
      <c r="G245" s="39" t="e">
        <f>VLOOKUP($F245,'GS 제품코드'!$A:$C,3,0)</f>
        <v>#N/A</v>
      </c>
      <c r="H245" s="40">
        <f>'GS DATA'!L245</f>
        <v>0</v>
      </c>
      <c r="I245" s="41">
        <f>'GS DATA'!Q245</f>
        <v>0</v>
      </c>
      <c r="J245" s="42">
        <f>'GS DATA'!S245</f>
        <v>0</v>
      </c>
      <c r="K245" s="43">
        <f t="shared" si="9"/>
        <v>0</v>
      </c>
    </row>
    <row r="246" spans="1:11" ht="15.6">
      <c r="A246" s="49">
        <f>'GS DATA'!X246</f>
        <v>0</v>
      </c>
      <c r="B246" s="4">
        <f>'GS DATA'!J246</f>
        <v>0</v>
      </c>
      <c r="C246" s="37" t="e">
        <f>VLOOKUP(B246,'GS 점포명'!A:B,2,0)</f>
        <v>#N/A</v>
      </c>
      <c r="D246" s="4">
        <f>'GS DATA'!J246</f>
        <v>0</v>
      </c>
      <c r="E246" s="37" t="e">
        <f>VLOOKUP(D246,'GS 점포명'!A:B,2,0)</f>
        <v>#N/A</v>
      </c>
      <c r="F246" s="38">
        <f>'GS DATA'!M246</f>
        <v>0</v>
      </c>
      <c r="G246" s="39" t="e">
        <f>VLOOKUP($F246,'GS 제품코드'!$A:$C,3,0)</f>
        <v>#N/A</v>
      </c>
      <c r="H246" s="40">
        <f>'GS DATA'!L246</f>
        <v>0</v>
      </c>
      <c r="I246" s="41">
        <f>'GS DATA'!Q246</f>
        <v>0</v>
      </c>
      <c r="J246" s="42">
        <f>'GS DATA'!S246</f>
        <v>0</v>
      </c>
      <c r="K246" s="43">
        <f t="shared" si="9"/>
        <v>0</v>
      </c>
    </row>
    <row r="247" spans="1:11" ht="15.6">
      <c r="A247" s="49">
        <f>'GS DATA'!X247</f>
        <v>0</v>
      </c>
      <c r="B247" s="4">
        <f>'GS DATA'!J247</f>
        <v>0</v>
      </c>
      <c r="C247" s="37" t="e">
        <f>VLOOKUP(B247,'GS 점포명'!A:B,2,0)</f>
        <v>#N/A</v>
      </c>
      <c r="D247" s="4">
        <f>'GS DATA'!J247</f>
        <v>0</v>
      </c>
      <c r="E247" s="37" t="e">
        <f>VLOOKUP(D247,'GS 점포명'!A:B,2,0)</f>
        <v>#N/A</v>
      </c>
      <c r="F247" s="38">
        <f>'GS DATA'!M247</f>
        <v>0</v>
      </c>
      <c r="G247" s="39" t="e">
        <f>VLOOKUP($F247,'GS 제품코드'!$A:$C,3,0)</f>
        <v>#N/A</v>
      </c>
      <c r="H247" s="40">
        <f>'GS DATA'!L247</f>
        <v>0</v>
      </c>
      <c r="I247" s="41">
        <f>'GS DATA'!Q247</f>
        <v>0</v>
      </c>
      <c r="J247" s="42">
        <f>'GS DATA'!S247</f>
        <v>0</v>
      </c>
      <c r="K247" s="43">
        <f t="shared" si="9"/>
        <v>0</v>
      </c>
    </row>
    <row r="248" spans="1:11" ht="15.6">
      <c r="A248" s="49">
        <f>'GS DATA'!X248</f>
        <v>0</v>
      </c>
      <c r="B248" s="4">
        <f>'GS DATA'!J248</f>
        <v>0</v>
      </c>
      <c r="C248" s="37" t="e">
        <f>VLOOKUP(B248,'GS 점포명'!A:B,2,0)</f>
        <v>#N/A</v>
      </c>
      <c r="D248" s="4">
        <f>'GS DATA'!J248</f>
        <v>0</v>
      </c>
      <c r="E248" s="37" t="e">
        <f>VLOOKUP(D248,'GS 점포명'!A:B,2,0)</f>
        <v>#N/A</v>
      </c>
      <c r="F248" s="38">
        <f>'GS DATA'!M248</f>
        <v>0</v>
      </c>
      <c r="G248" s="39" t="e">
        <f>VLOOKUP($F248,'GS 제품코드'!$A:$C,3,0)</f>
        <v>#N/A</v>
      </c>
      <c r="H248" s="40">
        <f>'GS DATA'!L248</f>
        <v>0</v>
      </c>
      <c r="I248" s="41">
        <f>'GS DATA'!Q248</f>
        <v>0</v>
      </c>
      <c r="J248" s="42">
        <f>'GS DATA'!S248</f>
        <v>0</v>
      </c>
      <c r="K248" s="43">
        <f t="shared" si="9"/>
        <v>0</v>
      </c>
    </row>
    <row r="249" spans="1:11" ht="15.6">
      <c r="A249" s="49">
        <f>'GS DATA'!X249</f>
        <v>0</v>
      </c>
      <c r="B249" s="4">
        <f>'GS DATA'!J249</f>
        <v>0</v>
      </c>
      <c r="C249" s="37" t="e">
        <f>VLOOKUP(B249,'GS 점포명'!A:B,2,0)</f>
        <v>#N/A</v>
      </c>
      <c r="D249" s="4">
        <f>'GS DATA'!J249</f>
        <v>0</v>
      </c>
      <c r="E249" s="37" t="e">
        <f>VLOOKUP(D249,'GS 점포명'!A:B,2,0)</f>
        <v>#N/A</v>
      </c>
      <c r="F249" s="38">
        <f>'GS DATA'!M249</f>
        <v>0</v>
      </c>
      <c r="G249" s="39" t="e">
        <f>VLOOKUP($F249,'GS 제품코드'!$A:$C,3,0)</f>
        <v>#N/A</v>
      </c>
      <c r="H249" s="40">
        <f>'GS DATA'!L249</f>
        <v>0</v>
      </c>
      <c r="I249" s="41">
        <f>'GS DATA'!Q249</f>
        <v>0</v>
      </c>
      <c r="J249" s="42">
        <f>'GS DATA'!S249</f>
        <v>0</v>
      </c>
      <c r="K249" s="43">
        <f t="shared" si="9"/>
        <v>0</v>
      </c>
    </row>
    <row r="250" spans="1:11" ht="15.6">
      <c r="A250" s="49">
        <f>'GS DATA'!X250</f>
        <v>0</v>
      </c>
      <c r="B250" s="4">
        <f>'GS DATA'!J250</f>
        <v>0</v>
      </c>
      <c r="C250" s="37" t="e">
        <f>VLOOKUP(B250,'GS 점포명'!A:B,2,0)</f>
        <v>#N/A</v>
      </c>
      <c r="D250" s="4">
        <f>'GS DATA'!J250</f>
        <v>0</v>
      </c>
      <c r="E250" s="37" t="e">
        <f>VLOOKUP(D250,'GS 점포명'!A:B,2,0)</f>
        <v>#N/A</v>
      </c>
      <c r="F250" s="38">
        <f>'GS DATA'!M250</f>
        <v>0</v>
      </c>
      <c r="G250" s="39" t="e">
        <f>VLOOKUP($F250,'GS 제품코드'!$A:$C,3,0)</f>
        <v>#N/A</v>
      </c>
      <c r="H250" s="40">
        <f>'GS DATA'!L250</f>
        <v>0</v>
      </c>
      <c r="I250" s="41">
        <f>'GS DATA'!Q250</f>
        <v>0</v>
      </c>
      <c r="J250" s="42">
        <f>'GS DATA'!S250</f>
        <v>0</v>
      </c>
      <c r="K250" s="43">
        <f t="shared" si="9"/>
        <v>0</v>
      </c>
    </row>
    <row r="251" spans="1:11" ht="15.6">
      <c r="A251" s="49">
        <f>'GS DATA'!X251</f>
        <v>0</v>
      </c>
      <c r="B251" s="4">
        <f>'GS DATA'!J251</f>
        <v>0</v>
      </c>
      <c r="C251" s="37" t="e">
        <f>VLOOKUP(B251,'GS 점포명'!A:B,2,0)</f>
        <v>#N/A</v>
      </c>
      <c r="D251" s="4">
        <f>'GS DATA'!J251</f>
        <v>0</v>
      </c>
      <c r="E251" s="37" t="e">
        <f>VLOOKUP(D251,'GS 점포명'!A:B,2,0)</f>
        <v>#N/A</v>
      </c>
      <c r="F251" s="38">
        <f>'GS DATA'!M251</f>
        <v>0</v>
      </c>
      <c r="G251" s="39" t="e">
        <f>VLOOKUP($F251,'GS 제품코드'!$A:$C,3,0)</f>
        <v>#N/A</v>
      </c>
      <c r="H251" s="40">
        <f>'GS DATA'!L251</f>
        <v>0</v>
      </c>
      <c r="I251" s="41">
        <f>'GS DATA'!Q251</f>
        <v>0</v>
      </c>
      <c r="J251" s="42">
        <f>'GS DATA'!S251</f>
        <v>0</v>
      </c>
      <c r="K251" s="43">
        <f t="shared" si="9"/>
        <v>0</v>
      </c>
    </row>
    <row r="252" spans="1:11" ht="15.6">
      <c r="A252" s="49">
        <f>'GS DATA'!X252</f>
        <v>0</v>
      </c>
      <c r="B252" s="4">
        <f>'GS DATA'!J252</f>
        <v>0</v>
      </c>
      <c r="C252" s="37" t="e">
        <f>VLOOKUP(B252,'GS 점포명'!A:B,2,0)</f>
        <v>#N/A</v>
      </c>
      <c r="D252" s="4">
        <f>'GS DATA'!J252</f>
        <v>0</v>
      </c>
      <c r="E252" s="37" t="e">
        <f>VLOOKUP(D252,'GS 점포명'!A:B,2,0)</f>
        <v>#N/A</v>
      </c>
      <c r="F252" s="38">
        <f>'GS DATA'!M252</f>
        <v>0</v>
      </c>
      <c r="G252" s="39" t="e">
        <f>VLOOKUP($F252,'GS 제품코드'!$A:$C,3,0)</f>
        <v>#N/A</v>
      </c>
      <c r="H252" s="40">
        <f>'GS DATA'!L252</f>
        <v>0</v>
      </c>
      <c r="I252" s="41">
        <f>'GS DATA'!Q252</f>
        <v>0</v>
      </c>
      <c r="J252" s="42">
        <f>'GS DATA'!S252</f>
        <v>0</v>
      </c>
      <c r="K252" s="43">
        <f t="shared" si="9"/>
        <v>0</v>
      </c>
    </row>
    <row r="253" spans="1:11" ht="15.6">
      <c r="A253" s="49">
        <f>'GS DATA'!X253</f>
        <v>0</v>
      </c>
      <c r="B253" s="4">
        <f>'GS DATA'!J253</f>
        <v>0</v>
      </c>
      <c r="C253" s="37" t="e">
        <f>VLOOKUP(B253,'GS 점포명'!A:B,2,0)</f>
        <v>#N/A</v>
      </c>
      <c r="D253" s="4">
        <f>'GS DATA'!J253</f>
        <v>0</v>
      </c>
      <c r="E253" s="37" t="e">
        <f>VLOOKUP(D253,'GS 점포명'!A:B,2,0)</f>
        <v>#N/A</v>
      </c>
      <c r="F253" s="38">
        <f>'GS DATA'!M253</f>
        <v>0</v>
      </c>
      <c r="G253" s="39" t="e">
        <f>VLOOKUP($F253,'GS 제품코드'!$A:$C,3,0)</f>
        <v>#N/A</v>
      </c>
      <c r="H253" s="40">
        <f>'GS DATA'!L253</f>
        <v>0</v>
      </c>
      <c r="I253" s="41">
        <f>'GS DATA'!Q253</f>
        <v>0</v>
      </c>
      <c r="J253" s="42">
        <f>'GS DATA'!S253</f>
        <v>0</v>
      </c>
      <c r="K253" s="43">
        <f t="shared" si="9"/>
        <v>0</v>
      </c>
    </row>
    <row r="254" spans="1:11" ht="15.6">
      <c r="A254" s="49">
        <f>'GS DATA'!X254</f>
        <v>0</v>
      </c>
      <c r="B254" s="4">
        <f>'GS DATA'!J254</f>
        <v>0</v>
      </c>
      <c r="C254" s="37" t="e">
        <f>VLOOKUP(B254,'GS 점포명'!A:B,2,0)</f>
        <v>#N/A</v>
      </c>
      <c r="D254" s="4">
        <f>'GS DATA'!J254</f>
        <v>0</v>
      </c>
      <c r="E254" s="37" t="e">
        <f>VLOOKUP(D254,'GS 점포명'!A:B,2,0)</f>
        <v>#N/A</v>
      </c>
      <c r="F254" s="38">
        <f>'GS DATA'!M254</f>
        <v>0</v>
      </c>
      <c r="G254" s="39" t="e">
        <f>VLOOKUP($F254,'GS 제품코드'!$A:$C,3,0)</f>
        <v>#N/A</v>
      </c>
      <c r="H254" s="40">
        <f>'GS DATA'!L254</f>
        <v>0</v>
      </c>
      <c r="I254" s="41">
        <f>'GS DATA'!Q254</f>
        <v>0</v>
      </c>
      <c r="J254" s="42">
        <f>'GS DATA'!S254</f>
        <v>0</v>
      </c>
      <c r="K254" s="43">
        <f t="shared" si="9"/>
        <v>0</v>
      </c>
    </row>
    <row r="255" spans="1:11" ht="15.6">
      <c r="A255" s="49">
        <f>'GS DATA'!X255</f>
        <v>0</v>
      </c>
      <c r="B255" s="4">
        <f>'GS DATA'!J255</f>
        <v>0</v>
      </c>
      <c r="C255" s="37" t="e">
        <f>VLOOKUP(B255,'GS 점포명'!A:B,2,0)</f>
        <v>#N/A</v>
      </c>
      <c r="D255" s="4">
        <f>'GS DATA'!J255</f>
        <v>0</v>
      </c>
      <c r="E255" s="37" t="e">
        <f>VLOOKUP(D255,'GS 점포명'!A:B,2,0)</f>
        <v>#N/A</v>
      </c>
      <c r="F255" s="38">
        <f>'GS DATA'!M255</f>
        <v>0</v>
      </c>
      <c r="G255" s="39" t="e">
        <f>VLOOKUP($F255,'GS 제품코드'!$A:$C,3,0)</f>
        <v>#N/A</v>
      </c>
      <c r="H255" s="40">
        <f>'GS DATA'!L255</f>
        <v>0</v>
      </c>
      <c r="I255" s="41">
        <f>'GS DATA'!Q255</f>
        <v>0</v>
      </c>
      <c r="J255" s="42">
        <f>'GS DATA'!S255</f>
        <v>0</v>
      </c>
      <c r="K255" s="43">
        <f t="shared" si="9"/>
        <v>0</v>
      </c>
    </row>
    <row r="256" spans="1:11" ht="15.6">
      <c r="A256" s="49">
        <f>'GS DATA'!X256</f>
        <v>0</v>
      </c>
      <c r="B256" s="4">
        <f>'GS DATA'!J256</f>
        <v>0</v>
      </c>
      <c r="C256" s="37" t="e">
        <f>VLOOKUP(B256,'GS 점포명'!A:B,2,0)</f>
        <v>#N/A</v>
      </c>
      <c r="D256" s="4">
        <f>'GS DATA'!J256</f>
        <v>0</v>
      </c>
      <c r="E256" s="37" t="e">
        <f>VLOOKUP(D256,'GS 점포명'!A:B,2,0)</f>
        <v>#N/A</v>
      </c>
      <c r="F256" s="38">
        <f>'GS DATA'!M256</f>
        <v>0</v>
      </c>
      <c r="G256" s="39" t="e">
        <f>VLOOKUP($F256,'GS 제품코드'!$A:$C,3,0)</f>
        <v>#N/A</v>
      </c>
      <c r="H256" s="40">
        <f>'GS DATA'!L256</f>
        <v>0</v>
      </c>
      <c r="I256" s="41">
        <f>'GS DATA'!Q256</f>
        <v>0</v>
      </c>
      <c r="J256" s="42">
        <f>'GS DATA'!S256</f>
        <v>0</v>
      </c>
      <c r="K256" s="43">
        <f t="shared" si="9"/>
        <v>0</v>
      </c>
    </row>
    <row r="257" spans="1:11" ht="15.6">
      <c r="A257" s="49">
        <f>'GS DATA'!X257</f>
        <v>0</v>
      </c>
      <c r="B257" s="4">
        <f>'GS DATA'!J257</f>
        <v>0</v>
      </c>
      <c r="C257" s="37" t="e">
        <f>VLOOKUP(B257,'GS 점포명'!A:B,2,0)</f>
        <v>#N/A</v>
      </c>
      <c r="D257" s="4">
        <f>'GS DATA'!J257</f>
        <v>0</v>
      </c>
      <c r="E257" s="37" t="e">
        <f>VLOOKUP(D257,'GS 점포명'!A:B,2,0)</f>
        <v>#N/A</v>
      </c>
      <c r="F257" s="38">
        <f>'GS DATA'!M257</f>
        <v>0</v>
      </c>
      <c r="G257" s="39" t="e">
        <f>VLOOKUP($F257,'GS 제품코드'!$A:$C,3,0)</f>
        <v>#N/A</v>
      </c>
      <c r="H257" s="40">
        <f>'GS DATA'!L257</f>
        <v>0</v>
      </c>
      <c r="I257" s="41">
        <f>'GS DATA'!Q257</f>
        <v>0</v>
      </c>
      <c r="J257" s="42">
        <f>'GS DATA'!S257</f>
        <v>0</v>
      </c>
      <c r="K257" s="43">
        <f t="shared" si="9"/>
        <v>0</v>
      </c>
    </row>
    <row r="258" spans="1:11" ht="15.6">
      <c r="A258" s="49">
        <f>'GS DATA'!X258</f>
        <v>0</v>
      </c>
      <c r="B258" s="4">
        <f>'GS DATA'!J258</f>
        <v>0</v>
      </c>
      <c r="C258" s="37" t="e">
        <f>VLOOKUP(B258,'GS 점포명'!A:B,2,0)</f>
        <v>#N/A</v>
      </c>
      <c r="D258" s="4">
        <f>'GS DATA'!J258</f>
        <v>0</v>
      </c>
      <c r="E258" s="37" t="e">
        <f>VLOOKUP(D258,'GS 점포명'!A:B,2,0)</f>
        <v>#N/A</v>
      </c>
      <c r="F258" s="38">
        <f>'GS DATA'!M258</f>
        <v>0</v>
      </c>
      <c r="G258" s="39" t="e">
        <f>VLOOKUP($F258,'GS 제품코드'!$A:$C,3,0)</f>
        <v>#N/A</v>
      </c>
      <c r="H258" s="40">
        <f>'GS DATA'!L258</f>
        <v>0</v>
      </c>
      <c r="I258" s="41">
        <f>'GS DATA'!Q258</f>
        <v>0</v>
      </c>
      <c r="J258" s="42">
        <f>'GS DATA'!S258</f>
        <v>0</v>
      </c>
      <c r="K258" s="43">
        <f t="shared" si="9"/>
        <v>0</v>
      </c>
    </row>
    <row r="259" spans="1:11" ht="15.6">
      <c r="A259" s="49">
        <f>'GS DATA'!X259</f>
        <v>0</v>
      </c>
      <c r="B259" s="4">
        <f>'GS DATA'!J259</f>
        <v>0</v>
      </c>
      <c r="C259" s="37" t="e">
        <f>VLOOKUP(B259,'GS 점포명'!A:B,2,0)</f>
        <v>#N/A</v>
      </c>
      <c r="D259" s="4">
        <f>'GS DATA'!J259</f>
        <v>0</v>
      </c>
      <c r="E259" s="37" t="e">
        <f>VLOOKUP(D259,'GS 점포명'!A:B,2,0)</f>
        <v>#N/A</v>
      </c>
      <c r="F259" s="38">
        <f>'GS DATA'!M259</f>
        <v>0</v>
      </c>
      <c r="G259" s="39" t="e">
        <f>VLOOKUP($F259,'GS 제품코드'!$A:$C,3,0)</f>
        <v>#N/A</v>
      </c>
      <c r="H259" s="40">
        <f>'GS DATA'!L259</f>
        <v>0</v>
      </c>
      <c r="I259" s="41">
        <f>'GS DATA'!Q259</f>
        <v>0</v>
      </c>
      <c r="J259" s="42">
        <f>'GS DATA'!S259</f>
        <v>0</v>
      </c>
      <c r="K259" s="43">
        <f t="shared" si="9"/>
        <v>0</v>
      </c>
    </row>
    <row r="260" spans="1:11" ht="15.6">
      <c r="A260" s="49">
        <f>'GS DATA'!X260</f>
        <v>0</v>
      </c>
      <c r="B260" s="4">
        <f>'GS DATA'!J260</f>
        <v>0</v>
      </c>
      <c r="C260" s="37" t="e">
        <f>VLOOKUP(B260,'GS 점포명'!A:B,2,0)</f>
        <v>#N/A</v>
      </c>
      <c r="D260" s="4">
        <f>'GS DATA'!J260</f>
        <v>0</v>
      </c>
      <c r="E260" s="37" t="e">
        <f>VLOOKUP(D260,'GS 점포명'!A:B,2,0)</f>
        <v>#N/A</v>
      </c>
      <c r="F260" s="38">
        <f>'GS DATA'!M260</f>
        <v>0</v>
      </c>
      <c r="G260" s="39" t="e">
        <f>VLOOKUP($F260,'GS 제품코드'!$A:$C,3,0)</f>
        <v>#N/A</v>
      </c>
      <c r="H260" s="40">
        <f>'GS DATA'!L260</f>
        <v>0</v>
      </c>
      <c r="I260" s="41">
        <f>'GS DATA'!Q260</f>
        <v>0</v>
      </c>
      <c r="J260" s="42">
        <f>'GS DATA'!S260</f>
        <v>0</v>
      </c>
      <c r="K260" s="43">
        <f t="shared" si="9"/>
        <v>0</v>
      </c>
    </row>
    <row r="261" spans="1:11" ht="15.6">
      <c r="A261" s="49">
        <f>'GS DATA'!X261</f>
        <v>0</v>
      </c>
      <c r="B261" s="4">
        <f>'GS DATA'!J261</f>
        <v>0</v>
      </c>
      <c r="C261" s="37" t="e">
        <f>VLOOKUP(B261,'GS 점포명'!A:B,2,0)</f>
        <v>#N/A</v>
      </c>
      <c r="D261" s="4">
        <f>'GS DATA'!J261</f>
        <v>0</v>
      </c>
      <c r="E261" s="37" t="e">
        <f>VLOOKUP(D261,'GS 점포명'!A:B,2,0)</f>
        <v>#N/A</v>
      </c>
      <c r="F261" s="38">
        <f>'GS DATA'!M261</f>
        <v>0</v>
      </c>
      <c r="G261" s="39" t="e">
        <f>VLOOKUP($F261,'GS 제품코드'!$A:$C,3,0)</f>
        <v>#N/A</v>
      </c>
      <c r="H261" s="40">
        <f>'GS DATA'!L261</f>
        <v>0</v>
      </c>
      <c r="I261" s="41">
        <f>'GS DATA'!Q261</f>
        <v>0</v>
      </c>
      <c r="J261" s="42">
        <f>'GS DATA'!S261</f>
        <v>0</v>
      </c>
      <c r="K261" s="43">
        <f t="shared" si="9"/>
        <v>0</v>
      </c>
    </row>
    <row r="262" spans="1:11" ht="15.6">
      <c r="A262" s="49">
        <f>'GS DATA'!X262</f>
        <v>0</v>
      </c>
      <c r="B262" s="4">
        <f>'GS DATA'!J262</f>
        <v>0</v>
      </c>
      <c r="C262" s="37" t="e">
        <f>VLOOKUP(B262,'GS 점포명'!A:B,2,0)</f>
        <v>#N/A</v>
      </c>
      <c r="D262" s="4">
        <f>'GS DATA'!J262</f>
        <v>0</v>
      </c>
      <c r="E262" s="37" t="e">
        <f>VLOOKUP(D262,'GS 점포명'!A:B,2,0)</f>
        <v>#N/A</v>
      </c>
      <c r="F262" s="38">
        <f>'GS DATA'!M262</f>
        <v>0</v>
      </c>
      <c r="G262" s="39" t="e">
        <f>VLOOKUP($F262,'GS 제품코드'!$A:$C,3,0)</f>
        <v>#N/A</v>
      </c>
      <c r="H262" s="40">
        <f>'GS DATA'!L262</f>
        <v>0</v>
      </c>
      <c r="I262" s="41">
        <f>'GS DATA'!Q262</f>
        <v>0</v>
      </c>
      <c r="J262" s="42">
        <f>'GS DATA'!S262</f>
        <v>0</v>
      </c>
      <c r="K262" s="43">
        <f t="shared" si="9"/>
        <v>0</v>
      </c>
    </row>
    <row r="263" spans="1:11" ht="15.6">
      <c r="A263" s="49">
        <f>'GS DATA'!X263</f>
        <v>0</v>
      </c>
      <c r="B263" s="4">
        <f>'GS DATA'!J263</f>
        <v>0</v>
      </c>
      <c r="C263" s="37" t="e">
        <f>VLOOKUP(B263,'GS 점포명'!A:B,2,0)</f>
        <v>#N/A</v>
      </c>
      <c r="D263" s="4">
        <f>'GS DATA'!J263</f>
        <v>0</v>
      </c>
      <c r="E263" s="37" t="e">
        <f>VLOOKUP(D263,'GS 점포명'!A:B,2,0)</f>
        <v>#N/A</v>
      </c>
      <c r="F263" s="38">
        <f>'GS DATA'!M263</f>
        <v>0</v>
      </c>
      <c r="G263" s="39" t="e">
        <f>VLOOKUP($F263,'GS 제품코드'!$A:$C,3,0)</f>
        <v>#N/A</v>
      </c>
      <c r="H263" s="40">
        <f>'GS DATA'!L263</f>
        <v>0</v>
      </c>
      <c r="I263" s="41">
        <f>'GS DATA'!Q263</f>
        <v>0</v>
      </c>
      <c r="J263" s="42">
        <f>'GS DATA'!S263</f>
        <v>0</v>
      </c>
      <c r="K263" s="43">
        <f t="shared" si="9"/>
        <v>0</v>
      </c>
    </row>
    <row r="264" spans="1:11" ht="15.6">
      <c r="A264" s="49">
        <f>'GS DATA'!X264</f>
        <v>0</v>
      </c>
      <c r="B264" s="4">
        <f>'GS DATA'!J264</f>
        <v>0</v>
      </c>
      <c r="C264" s="37" t="e">
        <f>VLOOKUP(B264,'GS 점포명'!A:B,2,0)</f>
        <v>#N/A</v>
      </c>
      <c r="D264" s="4">
        <f>'GS DATA'!J264</f>
        <v>0</v>
      </c>
      <c r="E264" s="37" t="e">
        <f>VLOOKUP(D264,'GS 점포명'!A:B,2,0)</f>
        <v>#N/A</v>
      </c>
      <c r="F264" s="38">
        <f>'GS DATA'!M264</f>
        <v>0</v>
      </c>
      <c r="G264" s="39" t="e">
        <f>VLOOKUP($F264,'GS 제품코드'!$A:$C,3,0)</f>
        <v>#N/A</v>
      </c>
      <c r="H264" s="40">
        <f>'GS DATA'!L264</f>
        <v>0</v>
      </c>
      <c r="I264" s="41">
        <f>'GS DATA'!Q264</f>
        <v>0</v>
      </c>
      <c r="J264" s="42">
        <f>'GS DATA'!S264</f>
        <v>0</v>
      </c>
      <c r="K264" s="43">
        <f t="shared" si="9"/>
        <v>0</v>
      </c>
    </row>
    <row r="265" spans="1:11" ht="15.6">
      <c r="A265" s="49">
        <f>'GS DATA'!X265</f>
        <v>0</v>
      </c>
      <c r="B265" s="4">
        <f>'GS DATA'!J265</f>
        <v>0</v>
      </c>
      <c r="C265" s="37" t="e">
        <f>VLOOKUP(B265,'GS 점포명'!A:B,2,0)</f>
        <v>#N/A</v>
      </c>
      <c r="D265" s="4">
        <f>'GS DATA'!J265</f>
        <v>0</v>
      </c>
      <c r="E265" s="37" t="e">
        <f>VLOOKUP(D265,'GS 점포명'!A:B,2,0)</f>
        <v>#N/A</v>
      </c>
      <c r="F265" s="38">
        <f>'GS DATA'!M265</f>
        <v>0</v>
      </c>
      <c r="G265" s="39" t="e">
        <f>VLOOKUP($F265,'GS 제품코드'!$A:$C,3,0)</f>
        <v>#N/A</v>
      </c>
      <c r="H265" s="40">
        <f>'GS DATA'!L265</f>
        <v>0</v>
      </c>
      <c r="I265" s="41">
        <f>'GS DATA'!Q265</f>
        <v>0</v>
      </c>
      <c r="J265" s="42">
        <f>'GS DATA'!S265</f>
        <v>0</v>
      </c>
      <c r="K265" s="43">
        <f t="shared" si="9"/>
        <v>0</v>
      </c>
    </row>
    <row r="266" spans="1:11" ht="15.6">
      <c r="A266" s="49">
        <f>'GS DATA'!X266</f>
        <v>0</v>
      </c>
      <c r="B266" s="4">
        <f>'GS DATA'!J266</f>
        <v>0</v>
      </c>
      <c r="C266" s="37" t="e">
        <f>VLOOKUP(B266,'GS 점포명'!A:B,2,0)</f>
        <v>#N/A</v>
      </c>
      <c r="D266" s="4">
        <f>'GS DATA'!J266</f>
        <v>0</v>
      </c>
      <c r="E266" s="37" t="e">
        <f>VLOOKUP(D266,'GS 점포명'!A:B,2,0)</f>
        <v>#N/A</v>
      </c>
      <c r="F266" s="38">
        <f>'GS DATA'!M266</f>
        <v>0</v>
      </c>
      <c r="G266" s="39" t="e">
        <f>VLOOKUP($F266,'GS 제품코드'!$A:$C,3,0)</f>
        <v>#N/A</v>
      </c>
      <c r="H266" s="40">
        <f>'GS DATA'!L266</f>
        <v>0</v>
      </c>
      <c r="I266" s="41">
        <f>'GS DATA'!Q266</f>
        <v>0</v>
      </c>
      <c r="J266" s="42">
        <f>'GS DATA'!S266</f>
        <v>0</v>
      </c>
      <c r="K266" s="43">
        <f t="shared" si="9"/>
        <v>0</v>
      </c>
    </row>
    <row r="267" spans="1:11" ht="15.6">
      <c r="A267" s="49">
        <f>'GS DATA'!X267</f>
        <v>0</v>
      </c>
      <c r="B267" s="4">
        <f>'GS DATA'!J267</f>
        <v>0</v>
      </c>
      <c r="C267" s="37" t="e">
        <f>VLOOKUP(B267,'GS 점포명'!A:B,2,0)</f>
        <v>#N/A</v>
      </c>
      <c r="D267" s="4">
        <f>'GS DATA'!J267</f>
        <v>0</v>
      </c>
      <c r="E267" s="37" t="e">
        <f>VLOOKUP(D267,'GS 점포명'!A:B,2,0)</f>
        <v>#N/A</v>
      </c>
      <c r="F267" s="38">
        <f>'GS DATA'!M267</f>
        <v>0</v>
      </c>
      <c r="G267" s="39" t="e">
        <f>VLOOKUP($F267,'GS 제품코드'!$A:$C,3,0)</f>
        <v>#N/A</v>
      </c>
      <c r="H267" s="40">
        <f>'GS DATA'!L267</f>
        <v>0</v>
      </c>
      <c r="I267" s="41">
        <f>'GS DATA'!Q267</f>
        <v>0</v>
      </c>
      <c r="J267" s="42">
        <f>'GS DATA'!S267</f>
        <v>0</v>
      </c>
      <c r="K267" s="43">
        <f t="shared" si="9"/>
        <v>0</v>
      </c>
    </row>
    <row r="268" spans="1:11" ht="15.6">
      <c r="A268" s="49">
        <f>'GS DATA'!X268</f>
        <v>0</v>
      </c>
      <c r="B268" s="4">
        <f>'GS DATA'!J268</f>
        <v>0</v>
      </c>
      <c r="C268" s="37" t="e">
        <f>VLOOKUP(B268,'GS 점포명'!A:B,2,0)</f>
        <v>#N/A</v>
      </c>
      <c r="D268" s="4">
        <f>'GS DATA'!J268</f>
        <v>0</v>
      </c>
      <c r="E268" s="37" t="e">
        <f>VLOOKUP(D268,'GS 점포명'!A:B,2,0)</f>
        <v>#N/A</v>
      </c>
      <c r="F268" s="38">
        <f>'GS DATA'!M268</f>
        <v>0</v>
      </c>
      <c r="G268" s="39" t="e">
        <f>VLOOKUP($F268,'GS 제품코드'!$A:$C,3,0)</f>
        <v>#N/A</v>
      </c>
      <c r="H268" s="40">
        <f>'GS DATA'!L268</f>
        <v>0</v>
      </c>
      <c r="I268" s="41">
        <f>'GS DATA'!Q268</f>
        <v>0</v>
      </c>
      <c r="J268" s="42">
        <f>'GS DATA'!S268</f>
        <v>0</v>
      </c>
      <c r="K268" s="43">
        <f t="shared" si="9"/>
        <v>0</v>
      </c>
    </row>
    <row r="269" spans="1:11" ht="15.6">
      <c r="A269" s="49">
        <f>'GS DATA'!X269</f>
        <v>0</v>
      </c>
      <c r="B269" s="4">
        <f>'GS DATA'!J269</f>
        <v>0</v>
      </c>
      <c r="C269" s="37" t="e">
        <f>VLOOKUP(B269,'GS 점포명'!A:B,2,0)</f>
        <v>#N/A</v>
      </c>
      <c r="D269" s="4">
        <f>'GS DATA'!J269</f>
        <v>0</v>
      </c>
      <c r="E269" s="37" t="e">
        <f>VLOOKUP(D269,'GS 점포명'!A:B,2,0)</f>
        <v>#N/A</v>
      </c>
      <c r="F269" s="38">
        <f>'GS DATA'!M269</f>
        <v>0</v>
      </c>
      <c r="G269" s="39" t="e">
        <f>VLOOKUP($F269,'GS 제품코드'!$A:$C,3,0)</f>
        <v>#N/A</v>
      </c>
      <c r="H269" s="40">
        <f>'GS DATA'!L269</f>
        <v>0</v>
      </c>
      <c r="I269" s="41">
        <f>'GS DATA'!Q269</f>
        <v>0</v>
      </c>
      <c r="J269" s="42">
        <f>'GS DATA'!S269</f>
        <v>0</v>
      </c>
      <c r="K269" s="43">
        <f t="shared" si="9"/>
        <v>0</v>
      </c>
    </row>
    <row r="270" spans="1:11" ht="15.6">
      <c r="A270" s="49">
        <f>'GS DATA'!X270</f>
        <v>0</v>
      </c>
      <c r="B270" s="4">
        <f>'GS DATA'!J270</f>
        <v>0</v>
      </c>
      <c r="C270" s="37" t="e">
        <f>VLOOKUP(B270,'GS 점포명'!A:B,2,0)</f>
        <v>#N/A</v>
      </c>
      <c r="D270" s="4">
        <f>'GS DATA'!J270</f>
        <v>0</v>
      </c>
      <c r="E270" s="37" t="e">
        <f>VLOOKUP(D270,'GS 점포명'!A:B,2,0)</f>
        <v>#N/A</v>
      </c>
      <c r="F270" s="38">
        <f>'GS DATA'!M270</f>
        <v>0</v>
      </c>
      <c r="G270" s="39" t="e">
        <f>VLOOKUP($F270,'GS 제품코드'!$A:$C,3,0)</f>
        <v>#N/A</v>
      </c>
      <c r="H270" s="40">
        <f>'GS DATA'!L270</f>
        <v>0</v>
      </c>
      <c r="I270" s="41">
        <f>'GS DATA'!Q270</f>
        <v>0</v>
      </c>
      <c r="J270" s="42">
        <f>'GS DATA'!S270</f>
        <v>0</v>
      </c>
      <c r="K270" s="43">
        <f t="shared" si="9"/>
        <v>0</v>
      </c>
    </row>
    <row r="271" spans="1:11" ht="15.6">
      <c r="A271" s="49">
        <f>'GS DATA'!X271</f>
        <v>0</v>
      </c>
      <c r="B271" s="4">
        <f>'GS DATA'!J271</f>
        <v>0</v>
      </c>
      <c r="C271" s="37" t="e">
        <f>VLOOKUP(B271,'GS 점포명'!A:B,2,0)</f>
        <v>#N/A</v>
      </c>
      <c r="D271" s="4">
        <f>'GS DATA'!J271</f>
        <v>0</v>
      </c>
      <c r="E271" s="37" t="e">
        <f>VLOOKUP(D271,'GS 점포명'!A:B,2,0)</f>
        <v>#N/A</v>
      </c>
      <c r="F271" s="38">
        <f>'GS DATA'!M271</f>
        <v>0</v>
      </c>
      <c r="G271" s="39" t="e">
        <f>VLOOKUP($F271,'GS 제품코드'!$A:$C,3,0)</f>
        <v>#N/A</v>
      </c>
      <c r="H271" s="40">
        <f>'GS DATA'!L271</f>
        <v>0</v>
      </c>
      <c r="I271" s="41">
        <f>'GS DATA'!Q271</f>
        <v>0</v>
      </c>
      <c r="J271" s="42">
        <f>'GS DATA'!S271</f>
        <v>0</v>
      </c>
      <c r="K271" s="43">
        <f t="shared" si="9"/>
        <v>0</v>
      </c>
    </row>
    <row r="272" spans="1:11" ht="15.6">
      <c r="A272" s="49">
        <f>'GS DATA'!X272</f>
        <v>0</v>
      </c>
      <c r="B272" s="4">
        <f>'GS DATA'!J272</f>
        <v>0</v>
      </c>
      <c r="C272" s="37" t="e">
        <f>VLOOKUP(B272,'GS 점포명'!A:B,2,0)</f>
        <v>#N/A</v>
      </c>
      <c r="D272" s="4">
        <f>'GS DATA'!J272</f>
        <v>0</v>
      </c>
      <c r="E272" s="37" t="e">
        <f>VLOOKUP(D272,'GS 점포명'!A:B,2,0)</f>
        <v>#N/A</v>
      </c>
      <c r="F272" s="38">
        <f>'GS DATA'!M272</f>
        <v>0</v>
      </c>
      <c r="G272" s="39" t="e">
        <f>VLOOKUP($F272,'GS 제품코드'!$A:$C,3,0)</f>
        <v>#N/A</v>
      </c>
      <c r="H272" s="40">
        <f>'GS DATA'!L272</f>
        <v>0</v>
      </c>
      <c r="I272" s="41">
        <f>'GS DATA'!Q272</f>
        <v>0</v>
      </c>
      <c r="J272" s="42">
        <f>'GS DATA'!S272</f>
        <v>0</v>
      </c>
      <c r="K272" s="43">
        <f t="shared" si="9"/>
        <v>0</v>
      </c>
    </row>
    <row r="273" spans="1:11" ht="15.6">
      <c r="A273" s="49">
        <f>'GS DATA'!X273</f>
        <v>0</v>
      </c>
      <c r="B273" s="4">
        <f>'GS DATA'!J273</f>
        <v>0</v>
      </c>
      <c r="C273" s="37" t="e">
        <f>VLOOKUP(B273,'GS 점포명'!A:B,2,0)</f>
        <v>#N/A</v>
      </c>
      <c r="D273" s="4">
        <f>'GS DATA'!J273</f>
        <v>0</v>
      </c>
      <c r="E273" s="37" t="e">
        <f>VLOOKUP(D273,'GS 점포명'!A:B,2,0)</f>
        <v>#N/A</v>
      </c>
      <c r="F273" s="38">
        <f>'GS DATA'!M273</f>
        <v>0</v>
      </c>
      <c r="G273" s="39" t="e">
        <f>VLOOKUP($F273,'GS 제품코드'!$A:$C,3,0)</f>
        <v>#N/A</v>
      </c>
      <c r="H273" s="40">
        <f>'GS DATA'!L273</f>
        <v>0</v>
      </c>
      <c r="I273" s="41">
        <f>'GS DATA'!Q273</f>
        <v>0</v>
      </c>
      <c r="J273" s="42">
        <f>'GS DATA'!S273</f>
        <v>0</v>
      </c>
      <c r="K273" s="43">
        <f t="shared" si="9"/>
        <v>0</v>
      </c>
    </row>
    <row r="274" spans="1:11" ht="15.6">
      <c r="A274" s="49">
        <f>'GS DATA'!X274</f>
        <v>0</v>
      </c>
      <c r="B274" s="4">
        <f>'GS DATA'!J274</f>
        <v>0</v>
      </c>
      <c r="C274" s="37" t="e">
        <f>VLOOKUP(B274,'GS 점포명'!A:B,2,0)</f>
        <v>#N/A</v>
      </c>
      <c r="D274" s="4">
        <f>'GS DATA'!J274</f>
        <v>0</v>
      </c>
      <c r="E274" s="37" t="e">
        <f>VLOOKUP(D274,'GS 점포명'!A:B,2,0)</f>
        <v>#N/A</v>
      </c>
      <c r="F274" s="38">
        <f>'GS DATA'!M274</f>
        <v>0</v>
      </c>
      <c r="G274" s="39" t="e">
        <f>VLOOKUP($F274,'GS 제품코드'!$A:$C,3,0)</f>
        <v>#N/A</v>
      </c>
      <c r="H274" s="40">
        <f>'GS DATA'!L274</f>
        <v>0</v>
      </c>
      <c r="I274" s="41">
        <f>'GS DATA'!Q274</f>
        <v>0</v>
      </c>
      <c r="J274" s="42">
        <f>'GS DATA'!S274</f>
        <v>0</v>
      </c>
      <c r="K274" s="43">
        <f t="shared" si="9"/>
        <v>0</v>
      </c>
    </row>
    <row r="275" spans="1:11" ht="15.6">
      <c r="A275" s="49">
        <f>'GS DATA'!X275</f>
        <v>0</v>
      </c>
      <c r="B275" s="4">
        <f>'GS DATA'!J275</f>
        <v>0</v>
      </c>
      <c r="C275" s="37" t="e">
        <f>VLOOKUP(B275,'GS 점포명'!A:B,2,0)</f>
        <v>#N/A</v>
      </c>
      <c r="D275" s="4">
        <f>'GS DATA'!J275</f>
        <v>0</v>
      </c>
      <c r="E275" s="37" t="e">
        <f>VLOOKUP(D275,'GS 점포명'!A:B,2,0)</f>
        <v>#N/A</v>
      </c>
      <c r="F275" s="38">
        <f>'GS DATA'!M275</f>
        <v>0</v>
      </c>
      <c r="G275" s="39" t="e">
        <f>VLOOKUP($F275,'GS 제품코드'!$A:$C,3,0)</f>
        <v>#N/A</v>
      </c>
      <c r="H275" s="40">
        <f>'GS DATA'!L275</f>
        <v>0</v>
      </c>
      <c r="I275" s="41">
        <f>'GS DATA'!Q275</f>
        <v>0</v>
      </c>
      <c r="J275" s="42">
        <f>'GS DATA'!S275</f>
        <v>0</v>
      </c>
      <c r="K275" s="43">
        <f t="shared" si="9"/>
        <v>0</v>
      </c>
    </row>
    <row r="276" spans="1:11" ht="15.6">
      <c r="A276" s="49">
        <f>'GS DATA'!X276</f>
        <v>0</v>
      </c>
      <c r="B276" s="4">
        <f>'GS DATA'!J276</f>
        <v>0</v>
      </c>
      <c r="C276" s="37" t="e">
        <f>VLOOKUP(B276,'GS 점포명'!A:B,2,0)</f>
        <v>#N/A</v>
      </c>
      <c r="D276" s="4">
        <f>'GS DATA'!J276</f>
        <v>0</v>
      </c>
      <c r="E276" s="37" t="e">
        <f>VLOOKUP(D276,'GS 점포명'!A:B,2,0)</f>
        <v>#N/A</v>
      </c>
      <c r="F276" s="38">
        <f>'GS DATA'!M276</f>
        <v>0</v>
      </c>
      <c r="G276" s="39" t="e">
        <f>VLOOKUP($F276,'GS 제품코드'!$A:$C,3,0)</f>
        <v>#N/A</v>
      </c>
      <c r="H276" s="40">
        <f>'GS DATA'!L276</f>
        <v>0</v>
      </c>
      <c r="I276" s="41">
        <f>'GS DATA'!Q276</f>
        <v>0</v>
      </c>
      <c r="J276" s="42">
        <f>'GS DATA'!S276</f>
        <v>0</v>
      </c>
      <c r="K276" s="43">
        <f t="shared" si="9"/>
        <v>0</v>
      </c>
    </row>
    <row r="277" spans="1:11" ht="15.6">
      <c r="A277" s="49">
        <f>'GS DATA'!X277</f>
        <v>0</v>
      </c>
      <c r="B277" s="4">
        <f>'GS DATA'!J277</f>
        <v>0</v>
      </c>
      <c r="C277" s="37" t="e">
        <f>VLOOKUP(B277,'GS 점포명'!A:B,2,0)</f>
        <v>#N/A</v>
      </c>
      <c r="D277" s="4">
        <f>'GS DATA'!J277</f>
        <v>0</v>
      </c>
      <c r="E277" s="37" t="e">
        <f>VLOOKUP(D277,'GS 점포명'!A:B,2,0)</f>
        <v>#N/A</v>
      </c>
      <c r="F277" s="38">
        <f>'GS DATA'!M277</f>
        <v>0</v>
      </c>
      <c r="G277" s="39" t="e">
        <f>VLOOKUP($F277,'GS 제품코드'!$A:$C,3,0)</f>
        <v>#N/A</v>
      </c>
      <c r="H277" s="40">
        <f>'GS DATA'!L277</f>
        <v>0</v>
      </c>
      <c r="I277" s="41">
        <f>'GS DATA'!Q277</f>
        <v>0</v>
      </c>
      <c r="J277" s="42">
        <f>'GS DATA'!S277</f>
        <v>0</v>
      </c>
      <c r="K277" s="43">
        <f t="shared" si="9"/>
        <v>0</v>
      </c>
    </row>
    <row r="278" spans="1:11" ht="15.6">
      <c r="A278" s="49">
        <f>'GS DATA'!X278</f>
        <v>0</v>
      </c>
      <c r="B278" s="4">
        <f>'GS DATA'!J278</f>
        <v>0</v>
      </c>
      <c r="C278" s="37" t="e">
        <f>VLOOKUP(B278,'GS 점포명'!A:B,2,0)</f>
        <v>#N/A</v>
      </c>
      <c r="D278" s="4">
        <f>'GS DATA'!J278</f>
        <v>0</v>
      </c>
      <c r="E278" s="37" t="e">
        <f>VLOOKUP(D278,'GS 점포명'!A:B,2,0)</f>
        <v>#N/A</v>
      </c>
      <c r="F278" s="38">
        <f>'GS DATA'!M278</f>
        <v>0</v>
      </c>
      <c r="G278" s="39" t="e">
        <f>VLOOKUP($F278,'GS 제품코드'!$A:$C,3,0)</f>
        <v>#N/A</v>
      </c>
      <c r="H278" s="40">
        <f>'GS DATA'!L278</f>
        <v>0</v>
      </c>
      <c r="I278" s="41">
        <f>'GS DATA'!Q278</f>
        <v>0</v>
      </c>
      <c r="J278" s="42">
        <f>'GS DATA'!S278</f>
        <v>0</v>
      </c>
      <c r="K278" s="43">
        <f t="shared" si="9"/>
        <v>0</v>
      </c>
    </row>
    <row r="279" spans="1:11" ht="15.6">
      <c r="A279" s="49">
        <f>'GS DATA'!X279</f>
        <v>0</v>
      </c>
      <c r="B279" s="4">
        <f>'GS DATA'!J279</f>
        <v>0</v>
      </c>
      <c r="C279" s="37" t="e">
        <f>VLOOKUP(B279,'GS 점포명'!A:B,2,0)</f>
        <v>#N/A</v>
      </c>
      <c r="D279" s="4">
        <f>'GS DATA'!J279</f>
        <v>0</v>
      </c>
      <c r="E279" s="37" t="e">
        <f>VLOOKUP(D279,'GS 점포명'!A:B,2,0)</f>
        <v>#N/A</v>
      </c>
      <c r="F279" s="38">
        <f>'GS DATA'!M279</f>
        <v>0</v>
      </c>
      <c r="G279" s="39" t="e">
        <f>VLOOKUP($F279,'GS 제품코드'!$A:$C,3,0)</f>
        <v>#N/A</v>
      </c>
      <c r="H279" s="40">
        <f>'GS DATA'!L279</f>
        <v>0</v>
      </c>
      <c r="I279" s="41">
        <f>'GS DATA'!Q279</f>
        <v>0</v>
      </c>
      <c r="J279" s="42">
        <f>'GS DATA'!S279</f>
        <v>0</v>
      </c>
      <c r="K279" s="43">
        <f t="shared" si="9"/>
        <v>0</v>
      </c>
    </row>
    <row r="280" spans="1:11" ht="15.6">
      <c r="A280" s="49">
        <f>'GS DATA'!X280</f>
        <v>0</v>
      </c>
      <c r="B280" s="4">
        <f>'GS DATA'!J280</f>
        <v>0</v>
      </c>
      <c r="C280" s="37" t="e">
        <f>VLOOKUP(B280,'GS 점포명'!A:B,2,0)</f>
        <v>#N/A</v>
      </c>
      <c r="D280" s="4">
        <f>'GS DATA'!J280</f>
        <v>0</v>
      </c>
      <c r="E280" s="37" t="e">
        <f>VLOOKUP(D280,'GS 점포명'!A:B,2,0)</f>
        <v>#N/A</v>
      </c>
      <c r="F280" s="38">
        <f>'GS DATA'!M280</f>
        <v>0</v>
      </c>
      <c r="G280" s="39" t="e">
        <f>VLOOKUP($F280,'GS 제품코드'!$A:$C,3,0)</f>
        <v>#N/A</v>
      </c>
      <c r="H280" s="40">
        <f>'GS DATA'!L280</f>
        <v>0</v>
      </c>
      <c r="I280" s="41">
        <f>'GS DATA'!Q280</f>
        <v>0</v>
      </c>
      <c r="J280" s="42">
        <f>'GS DATA'!S280</f>
        <v>0</v>
      </c>
      <c r="K280" s="43">
        <f t="shared" si="9"/>
        <v>0</v>
      </c>
    </row>
    <row r="281" spans="1:11" ht="15.6">
      <c r="A281" s="49">
        <f>'GS DATA'!X281</f>
        <v>0</v>
      </c>
      <c r="B281" s="4">
        <f>'GS DATA'!J281</f>
        <v>0</v>
      </c>
      <c r="C281" s="37" t="e">
        <f>VLOOKUP(B281,'GS 점포명'!A:B,2,0)</f>
        <v>#N/A</v>
      </c>
      <c r="D281" s="4">
        <f>'GS DATA'!J281</f>
        <v>0</v>
      </c>
      <c r="E281" s="37" t="e">
        <f>VLOOKUP(D281,'GS 점포명'!A:B,2,0)</f>
        <v>#N/A</v>
      </c>
      <c r="F281" s="38">
        <f>'GS DATA'!M281</f>
        <v>0</v>
      </c>
      <c r="G281" s="39" t="e">
        <f>VLOOKUP($F281,'GS 제품코드'!$A:$C,3,0)</f>
        <v>#N/A</v>
      </c>
      <c r="H281" s="40">
        <f>'GS DATA'!L281</f>
        <v>0</v>
      </c>
      <c r="I281" s="41">
        <f>'GS DATA'!Q281</f>
        <v>0</v>
      </c>
      <c r="J281" s="42">
        <f>'GS DATA'!S281</f>
        <v>0</v>
      </c>
      <c r="K281" s="43">
        <f t="shared" si="9"/>
        <v>0</v>
      </c>
    </row>
    <row r="282" spans="1:11" ht="15.6">
      <c r="A282" s="49">
        <f>'GS DATA'!X282</f>
        <v>0</v>
      </c>
      <c r="B282" s="4">
        <f>'GS DATA'!J282</f>
        <v>0</v>
      </c>
      <c r="C282" s="37" t="e">
        <f>VLOOKUP(B282,'GS 점포명'!A:B,2,0)</f>
        <v>#N/A</v>
      </c>
      <c r="D282" s="4">
        <f>'GS DATA'!J282</f>
        <v>0</v>
      </c>
      <c r="E282" s="37" t="e">
        <f>VLOOKUP(D282,'GS 점포명'!A:B,2,0)</f>
        <v>#N/A</v>
      </c>
      <c r="F282" s="38">
        <f>'GS DATA'!M282</f>
        <v>0</v>
      </c>
      <c r="G282" s="39" t="e">
        <f>VLOOKUP($F282,'GS 제품코드'!$A:$C,3,0)</f>
        <v>#N/A</v>
      </c>
      <c r="H282" s="40">
        <f>'GS DATA'!L282</f>
        <v>0</v>
      </c>
      <c r="I282" s="41">
        <f>'GS DATA'!Q282</f>
        <v>0</v>
      </c>
      <c r="J282" s="42">
        <f>'GS DATA'!S282</f>
        <v>0</v>
      </c>
      <c r="K282" s="43">
        <f t="shared" si="9"/>
        <v>0</v>
      </c>
    </row>
    <row r="283" spans="1:11" ht="15.6">
      <c r="A283" s="49">
        <f>'GS DATA'!X283</f>
        <v>0</v>
      </c>
      <c r="B283" s="4">
        <f>'GS DATA'!J283</f>
        <v>0</v>
      </c>
      <c r="C283" s="37" t="e">
        <f>VLOOKUP(B283,'GS 점포명'!A:B,2,0)</f>
        <v>#N/A</v>
      </c>
      <c r="D283" s="4">
        <f>'GS DATA'!J283</f>
        <v>0</v>
      </c>
      <c r="E283" s="37" t="e">
        <f>VLOOKUP(D283,'GS 점포명'!A:B,2,0)</f>
        <v>#N/A</v>
      </c>
      <c r="F283" s="38">
        <f>'GS DATA'!M283</f>
        <v>0</v>
      </c>
      <c r="G283" s="39" t="e">
        <f>VLOOKUP($F283,'GS 제품코드'!$A:$C,3,0)</f>
        <v>#N/A</v>
      </c>
      <c r="H283" s="40">
        <f>'GS DATA'!L283</f>
        <v>0</v>
      </c>
      <c r="I283" s="41">
        <f>'GS DATA'!Q283</f>
        <v>0</v>
      </c>
      <c r="J283" s="42">
        <f>'GS DATA'!S283</f>
        <v>0</v>
      </c>
      <c r="K283" s="43">
        <f t="shared" si="9"/>
        <v>0</v>
      </c>
    </row>
    <row r="284" spans="1:11" ht="15.6">
      <c r="A284" s="49">
        <f>'GS DATA'!X284</f>
        <v>0</v>
      </c>
      <c r="B284" s="4">
        <f>'GS DATA'!J284</f>
        <v>0</v>
      </c>
      <c r="C284" s="37" t="e">
        <f>VLOOKUP(B284,'GS 점포명'!A:B,2,0)</f>
        <v>#N/A</v>
      </c>
      <c r="D284" s="4">
        <f>'GS DATA'!J284</f>
        <v>0</v>
      </c>
      <c r="E284" s="37" t="e">
        <f>VLOOKUP(D284,'GS 점포명'!A:B,2,0)</f>
        <v>#N/A</v>
      </c>
      <c r="F284" s="38">
        <f>'GS DATA'!M284</f>
        <v>0</v>
      </c>
      <c r="G284" s="39" t="e">
        <f>VLOOKUP($F284,'GS 제품코드'!$A:$C,3,0)</f>
        <v>#N/A</v>
      </c>
      <c r="H284" s="40">
        <f>'GS DATA'!L284</f>
        <v>0</v>
      </c>
      <c r="I284" s="41">
        <f>'GS DATA'!Q284</f>
        <v>0</v>
      </c>
      <c r="J284" s="42">
        <f>'GS DATA'!S284</f>
        <v>0</v>
      </c>
      <c r="K284" s="43">
        <f t="shared" si="9"/>
        <v>0</v>
      </c>
    </row>
    <row r="285" spans="1:11" ht="15.6">
      <c r="A285" s="49">
        <f>'GS DATA'!X285</f>
        <v>0</v>
      </c>
      <c r="B285" s="4">
        <f>'GS DATA'!J285</f>
        <v>0</v>
      </c>
      <c r="C285" s="37" t="e">
        <f>VLOOKUP(B285,'GS 점포명'!A:B,2,0)</f>
        <v>#N/A</v>
      </c>
      <c r="D285" s="4">
        <f>'GS DATA'!J285</f>
        <v>0</v>
      </c>
      <c r="E285" s="37" t="e">
        <f>VLOOKUP(D285,'GS 점포명'!A:B,2,0)</f>
        <v>#N/A</v>
      </c>
      <c r="F285" s="38">
        <f>'GS DATA'!M285</f>
        <v>0</v>
      </c>
      <c r="G285" s="39" t="e">
        <f>VLOOKUP($F285,'GS 제품코드'!$A:$C,3,0)</f>
        <v>#N/A</v>
      </c>
      <c r="H285" s="40">
        <f>'GS DATA'!L285</f>
        <v>0</v>
      </c>
      <c r="I285" s="41">
        <f>'GS DATA'!Q285</f>
        <v>0</v>
      </c>
      <c r="J285" s="42">
        <f>'GS DATA'!S285</f>
        <v>0</v>
      </c>
      <c r="K285" s="43">
        <f t="shared" si="9"/>
        <v>0</v>
      </c>
    </row>
    <row r="286" spans="1:11" ht="15.6">
      <c r="A286" s="49">
        <f>'GS DATA'!X286</f>
        <v>0</v>
      </c>
      <c r="B286" s="4">
        <f>'GS DATA'!J286</f>
        <v>0</v>
      </c>
      <c r="C286" s="37" t="e">
        <f>VLOOKUP(B286,'GS 점포명'!A:B,2,0)</f>
        <v>#N/A</v>
      </c>
      <c r="D286" s="4">
        <f>'GS DATA'!J286</f>
        <v>0</v>
      </c>
      <c r="E286" s="37" t="e">
        <f>VLOOKUP(D286,'GS 점포명'!A:B,2,0)</f>
        <v>#N/A</v>
      </c>
      <c r="F286" s="38">
        <f>'GS DATA'!M286</f>
        <v>0</v>
      </c>
      <c r="G286" s="39" t="e">
        <f>VLOOKUP($F286,'GS 제품코드'!$A:$C,3,0)</f>
        <v>#N/A</v>
      </c>
      <c r="H286" s="40">
        <f>'GS DATA'!L286</f>
        <v>0</v>
      </c>
      <c r="I286" s="41">
        <f>'GS DATA'!Q286</f>
        <v>0</v>
      </c>
      <c r="J286" s="42">
        <f>'GS DATA'!S286</f>
        <v>0</v>
      </c>
      <c r="K286" s="43">
        <f t="shared" si="9"/>
        <v>0</v>
      </c>
    </row>
    <row r="287" spans="1:11" ht="15.6">
      <c r="A287" s="49">
        <f>'GS DATA'!X287</f>
        <v>0</v>
      </c>
      <c r="B287" s="4">
        <f>'GS DATA'!J287</f>
        <v>0</v>
      </c>
      <c r="C287" s="37" t="e">
        <f>VLOOKUP(B287,'GS 점포명'!A:B,2,0)</f>
        <v>#N/A</v>
      </c>
      <c r="D287" s="4">
        <f>'GS DATA'!J287</f>
        <v>0</v>
      </c>
      <c r="E287" s="37" t="e">
        <f>VLOOKUP(D287,'GS 점포명'!A:B,2,0)</f>
        <v>#N/A</v>
      </c>
      <c r="F287" s="38">
        <f>'GS DATA'!M287</f>
        <v>0</v>
      </c>
      <c r="G287" s="39" t="e">
        <f>VLOOKUP($F287,'GS 제품코드'!$A:$C,3,0)</f>
        <v>#N/A</v>
      </c>
      <c r="H287" s="40">
        <f>'GS DATA'!L287</f>
        <v>0</v>
      </c>
      <c r="I287" s="41">
        <f>'GS DATA'!Q287</f>
        <v>0</v>
      </c>
      <c r="J287" s="42">
        <f>'GS DATA'!S287</f>
        <v>0</v>
      </c>
      <c r="K287" s="43">
        <f t="shared" si="9"/>
        <v>0</v>
      </c>
    </row>
    <row r="288" spans="1:11" ht="15.6">
      <c r="A288" s="49">
        <f>'GS DATA'!X288</f>
        <v>0</v>
      </c>
      <c r="B288" s="4">
        <f>'GS DATA'!J288</f>
        <v>0</v>
      </c>
      <c r="C288" s="37" t="e">
        <f>VLOOKUP(B288,'GS 점포명'!A:B,2,0)</f>
        <v>#N/A</v>
      </c>
      <c r="D288" s="4">
        <f>'GS DATA'!J288</f>
        <v>0</v>
      </c>
      <c r="E288" s="37" t="e">
        <f>VLOOKUP(D288,'GS 점포명'!A:B,2,0)</f>
        <v>#N/A</v>
      </c>
      <c r="F288" s="38">
        <f>'GS DATA'!M288</f>
        <v>0</v>
      </c>
      <c r="G288" s="39" t="e">
        <f>VLOOKUP($F288,'GS 제품코드'!$A:$C,3,0)</f>
        <v>#N/A</v>
      </c>
      <c r="H288" s="40">
        <f>'GS DATA'!L288</f>
        <v>0</v>
      </c>
      <c r="I288" s="41">
        <f>'GS DATA'!Q288</f>
        <v>0</v>
      </c>
      <c r="J288" s="42">
        <f>'GS DATA'!S288</f>
        <v>0</v>
      </c>
      <c r="K288" s="43">
        <f t="shared" si="9"/>
        <v>0</v>
      </c>
    </row>
    <row r="289" spans="1:11" ht="15.6">
      <c r="A289" s="49">
        <f>'GS DATA'!X289</f>
        <v>0</v>
      </c>
      <c r="B289" s="4">
        <f>'GS DATA'!J289</f>
        <v>0</v>
      </c>
      <c r="C289" s="37" t="e">
        <f>VLOOKUP(B289,'GS 점포명'!A:B,2,0)</f>
        <v>#N/A</v>
      </c>
      <c r="D289" s="4">
        <f>'GS DATA'!J289</f>
        <v>0</v>
      </c>
      <c r="E289" s="37" t="e">
        <f>VLOOKUP(D289,'GS 점포명'!A:B,2,0)</f>
        <v>#N/A</v>
      </c>
      <c r="F289" s="38">
        <f>'GS DATA'!M289</f>
        <v>0</v>
      </c>
      <c r="G289" s="39" t="e">
        <f>VLOOKUP($F289,'GS 제품코드'!$A:$C,3,0)</f>
        <v>#N/A</v>
      </c>
      <c r="H289" s="40">
        <f>'GS DATA'!L289</f>
        <v>0</v>
      </c>
      <c r="I289" s="41">
        <f>'GS DATA'!Q289</f>
        <v>0</v>
      </c>
      <c r="J289" s="42">
        <f>'GS DATA'!S289</f>
        <v>0</v>
      </c>
      <c r="K289" s="43">
        <f t="shared" si="9"/>
        <v>0</v>
      </c>
    </row>
    <row r="290" spans="1:11" ht="15.6">
      <c r="A290" s="49">
        <f>'GS DATA'!X290</f>
        <v>0</v>
      </c>
      <c r="B290" s="4">
        <f>'GS DATA'!J290</f>
        <v>0</v>
      </c>
      <c r="C290" s="37" t="e">
        <f>VLOOKUP(B290,'GS 점포명'!A:B,2,0)</f>
        <v>#N/A</v>
      </c>
      <c r="D290" s="4">
        <f>'GS DATA'!J290</f>
        <v>0</v>
      </c>
      <c r="E290" s="37" t="e">
        <f>VLOOKUP(D290,'GS 점포명'!A:B,2,0)</f>
        <v>#N/A</v>
      </c>
      <c r="F290" s="38">
        <f>'GS DATA'!M290</f>
        <v>0</v>
      </c>
      <c r="G290" s="39" t="e">
        <f>VLOOKUP($F290,'GS 제품코드'!$A:$C,3,0)</f>
        <v>#N/A</v>
      </c>
      <c r="H290" s="40">
        <f>'GS DATA'!L290</f>
        <v>0</v>
      </c>
      <c r="I290" s="41">
        <f>'GS DATA'!Q290</f>
        <v>0</v>
      </c>
      <c r="J290" s="42">
        <f>'GS DATA'!S290</f>
        <v>0</v>
      </c>
      <c r="K290" s="43">
        <f t="shared" si="9"/>
        <v>0</v>
      </c>
    </row>
    <row r="291" spans="1:11" ht="15.6">
      <c r="A291" s="49">
        <f>'GS DATA'!X291</f>
        <v>0</v>
      </c>
      <c r="B291" s="4">
        <f>'GS DATA'!J291</f>
        <v>0</v>
      </c>
      <c r="C291" s="37" t="e">
        <f>VLOOKUP(B291,'GS 점포명'!A:B,2,0)</f>
        <v>#N/A</v>
      </c>
      <c r="D291" s="4">
        <f>'GS DATA'!J291</f>
        <v>0</v>
      </c>
      <c r="E291" s="37" t="e">
        <f>VLOOKUP(D291,'GS 점포명'!A:B,2,0)</f>
        <v>#N/A</v>
      </c>
      <c r="F291" s="38">
        <f>'GS DATA'!M291</f>
        <v>0</v>
      </c>
      <c r="G291" s="39" t="e">
        <f>VLOOKUP($F291,'GS 제품코드'!$A:$C,3,0)</f>
        <v>#N/A</v>
      </c>
      <c r="H291" s="40">
        <f>'GS DATA'!L291</f>
        <v>0</v>
      </c>
      <c r="I291" s="41">
        <f>'GS DATA'!Q291</f>
        <v>0</v>
      </c>
      <c r="J291" s="42">
        <f>'GS DATA'!S291</f>
        <v>0</v>
      </c>
      <c r="K291" s="43">
        <f t="shared" ref="K291:K354" si="10">I291*J291</f>
        <v>0</v>
      </c>
    </row>
    <row r="292" spans="1:11" ht="15.6">
      <c r="A292" s="49">
        <f>'GS DATA'!X292</f>
        <v>0</v>
      </c>
      <c r="B292" s="4">
        <f>'GS DATA'!J292</f>
        <v>0</v>
      </c>
      <c r="C292" s="37" t="e">
        <f>VLOOKUP(B292,'GS 점포명'!A:B,2,0)</f>
        <v>#N/A</v>
      </c>
      <c r="D292" s="4">
        <f>'GS DATA'!J292</f>
        <v>0</v>
      </c>
      <c r="E292" s="37" t="e">
        <f>VLOOKUP(D292,'GS 점포명'!A:B,2,0)</f>
        <v>#N/A</v>
      </c>
      <c r="F292" s="38">
        <f>'GS DATA'!M292</f>
        <v>0</v>
      </c>
      <c r="G292" s="39" t="e">
        <f>VLOOKUP($F292,'GS 제품코드'!$A:$C,3,0)</f>
        <v>#N/A</v>
      </c>
      <c r="H292" s="40">
        <f>'GS DATA'!L292</f>
        <v>0</v>
      </c>
      <c r="I292" s="41">
        <f>'GS DATA'!Q292</f>
        <v>0</v>
      </c>
      <c r="J292" s="42">
        <f>'GS DATA'!S292</f>
        <v>0</v>
      </c>
      <c r="K292" s="43">
        <f t="shared" si="10"/>
        <v>0</v>
      </c>
    </row>
    <row r="293" spans="1:11" ht="15.6">
      <c r="A293" s="49">
        <f>'GS DATA'!X293</f>
        <v>0</v>
      </c>
      <c r="B293" s="4">
        <f>'GS DATA'!J293</f>
        <v>0</v>
      </c>
      <c r="C293" s="37" t="e">
        <f>VLOOKUP(B293,'GS 점포명'!A:B,2,0)</f>
        <v>#N/A</v>
      </c>
      <c r="D293" s="4">
        <f>'GS DATA'!J293</f>
        <v>0</v>
      </c>
      <c r="E293" s="37" t="e">
        <f>VLOOKUP(D293,'GS 점포명'!A:B,2,0)</f>
        <v>#N/A</v>
      </c>
      <c r="F293" s="38">
        <f>'GS DATA'!M293</f>
        <v>0</v>
      </c>
      <c r="G293" s="39" t="e">
        <f>VLOOKUP($F293,'GS 제품코드'!$A:$C,3,0)</f>
        <v>#N/A</v>
      </c>
      <c r="H293" s="40">
        <f>'GS DATA'!L293</f>
        <v>0</v>
      </c>
      <c r="I293" s="41">
        <f>'GS DATA'!Q293</f>
        <v>0</v>
      </c>
      <c r="J293" s="42">
        <f>'GS DATA'!S293</f>
        <v>0</v>
      </c>
      <c r="K293" s="43">
        <f t="shared" si="10"/>
        <v>0</v>
      </c>
    </row>
    <row r="294" spans="1:11" ht="15.6">
      <c r="A294" s="49">
        <f>'GS DATA'!X294</f>
        <v>0</v>
      </c>
      <c r="B294" s="4">
        <f>'GS DATA'!J294</f>
        <v>0</v>
      </c>
      <c r="C294" s="37" t="e">
        <f>VLOOKUP(B294,'GS 점포명'!A:B,2,0)</f>
        <v>#N/A</v>
      </c>
      <c r="D294" s="4">
        <f>'GS DATA'!J294</f>
        <v>0</v>
      </c>
      <c r="E294" s="37" t="e">
        <f>VLOOKUP(D294,'GS 점포명'!A:B,2,0)</f>
        <v>#N/A</v>
      </c>
      <c r="F294" s="38">
        <f>'GS DATA'!M294</f>
        <v>0</v>
      </c>
      <c r="G294" s="39" t="e">
        <f>VLOOKUP($F294,'GS 제품코드'!$A:$C,3,0)</f>
        <v>#N/A</v>
      </c>
      <c r="H294" s="40">
        <f>'GS DATA'!L294</f>
        <v>0</v>
      </c>
      <c r="I294" s="41">
        <f>'GS DATA'!Q294</f>
        <v>0</v>
      </c>
      <c r="J294" s="42">
        <f>'GS DATA'!S294</f>
        <v>0</v>
      </c>
      <c r="K294" s="43">
        <f t="shared" si="10"/>
        <v>0</v>
      </c>
    </row>
    <row r="295" spans="1:11" ht="15.6">
      <c r="A295" s="49">
        <f>'GS DATA'!X295</f>
        <v>0</v>
      </c>
      <c r="B295" s="4">
        <f>'GS DATA'!J295</f>
        <v>0</v>
      </c>
      <c r="C295" s="37" t="e">
        <f>VLOOKUP(B295,'GS 점포명'!A:B,2,0)</f>
        <v>#N/A</v>
      </c>
      <c r="D295" s="4">
        <f>'GS DATA'!J295</f>
        <v>0</v>
      </c>
      <c r="E295" s="37" t="e">
        <f>VLOOKUP(D295,'GS 점포명'!A:B,2,0)</f>
        <v>#N/A</v>
      </c>
      <c r="F295" s="38">
        <f>'GS DATA'!M295</f>
        <v>0</v>
      </c>
      <c r="G295" s="39" t="e">
        <f>VLOOKUP($F295,'GS 제품코드'!$A:$C,3,0)</f>
        <v>#N/A</v>
      </c>
      <c r="H295" s="40">
        <f>'GS DATA'!L295</f>
        <v>0</v>
      </c>
      <c r="I295" s="41">
        <f>'GS DATA'!Q295</f>
        <v>0</v>
      </c>
      <c r="J295" s="42">
        <f>'GS DATA'!S295</f>
        <v>0</v>
      </c>
      <c r="K295" s="43">
        <f t="shared" si="10"/>
        <v>0</v>
      </c>
    </row>
    <row r="296" spans="1:11" ht="15.6">
      <c r="A296" s="49">
        <f>'GS DATA'!X296</f>
        <v>0</v>
      </c>
      <c r="B296" s="4">
        <f>'GS DATA'!J296</f>
        <v>0</v>
      </c>
      <c r="C296" s="37" t="e">
        <f>VLOOKUP(B296,'GS 점포명'!A:B,2,0)</f>
        <v>#N/A</v>
      </c>
      <c r="D296" s="4">
        <f>'GS DATA'!J296</f>
        <v>0</v>
      </c>
      <c r="E296" s="37" t="e">
        <f>VLOOKUP(D296,'GS 점포명'!A:B,2,0)</f>
        <v>#N/A</v>
      </c>
      <c r="F296" s="38">
        <f>'GS DATA'!M296</f>
        <v>0</v>
      </c>
      <c r="G296" s="39" t="e">
        <f>VLOOKUP($F296,'GS 제품코드'!$A:$C,3,0)</f>
        <v>#N/A</v>
      </c>
      <c r="H296" s="40">
        <f>'GS DATA'!L296</f>
        <v>0</v>
      </c>
      <c r="I296" s="41">
        <f>'GS DATA'!Q296</f>
        <v>0</v>
      </c>
      <c r="J296" s="42">
        <f>'GS DATA'!S296</f>
        <v>0</v>
      </c>
      <c r="K296" s="43">
        <f t="shared" si="10"/>
        <v>0</v>
      </c>
    </row>
    <row r="297" spans="1:11" ht="15.6">
      <c r="A297" s="49">
        <f>'GS DATA'!X297</f>
        <v>0</v>
      </c>
      <c r="B297" s="4">
        <f>'GS DATA'!J297</f>
        <v>0</v>
      </c>
      <c r="C297" s="37" t="e">
        <f>VLOOKUP(B297,'GS 점포명'!A:B,2,0)</f>
        <v>#N/A</v>
      </c>
      <c r="D297" s="4">
        <f>'GS DATA'!J297</f>
        <v>0</v>
      </c>
      <c r="E297" s="37" t="e">
        <f>VLOOKUP(D297,'GS 점포명'!A:B,2,0)</f>
        <v>#N/A</v>
      </c>
      <c r="F297" s="38">
        <f>'GS DATA'!M297</f>
        <v>0</v>
      </c>
      <c r="G297" s="39" t="e">
        <f>VLOOKUP($F297,'GS 제품코드'!$A:$C,3,0)</f>
        <v>#N/A</v>
      </c>
      <c r="H297" s="40">
        <f>'GS DATA'!L297</f>
        <v>0</v>
      </c>
      <c r="I297" s="41">
        <f>'GS DATA'!Q297</f>
        <v>0</v>
      </c>
      <c r="J297" s="42">
        <f>'GS DATA'!S297</f>
        <v>0</v>
      </c>
      <c r="K297" s="43">
        <f t="shared" si="10"/>
        <v>0</v>
      </c>
    </row>
    <row r="298" spans="1:11" ht="15.6">
      <c r="A298" s="49">
        <f>'GS DATA'!X298</f>
        <v>0</v>
      </c>
      <c r="B298" s="4">
        <f>'GS DATA'!J298</f>
        <v>0</v>
      </c>
      <c r="C298" s="37" t="e">
        <f>VLOOKUP(B298,'GS 점포명'!A:B,2,0)</f>
        <v>#N/A</v>
      </c>
      <c r="D298" s="4">
        <f>'GS DATA'!J298</f>
        <v>0</v>
      </c>
      <c r="E298" s="37" t="e">
        <f>VLOOKUP(D298,'GS 점포명'!A:B,2,0)</f>
        <v>#N/A</v>
      </c>
      <c r="F298" s="38">
        <f>'GS DATA'!M298</f>
        <v>0</v>
      </c>
      <c r="G298" s="39" t="e">
        <f>VLOOKUP($F298,'GS 제품코드'!$A:$C,3,0)</f>
        <v>#N/A</v>
      </c>
      <c r="H298" s="40">
        <f>'GS DATA'!L298</f>
        <v>0</v>
      </c>
      <c r="I298" s="41">
        <f>'GS DATA'!Q298</f>
        <v>0</v>
      </c>
      <c r="J298" s="42">
        <f>'GS DATA'!S298</f>
        <v>0</v>
      </c>
      <c r="K298" s="43">
        <f t="shared" si="10"/>
        <v>0</v>
      </c>
    </row>
    <row r="299" spans="1:11" ht="15.6">
      <c r="A299" s="49">
        <f>'GS DATA'!X299</f>
        <v>0</v>
      </c>
      <c r="B299" s="4">
        <f>'GS DATA'!J299</f>
        <v>0</v>
      </c>
      <c r="C299" s="37" t="e">
        <f>VLOOKUP(B299,'GS 점포명'!A:B,2,0)</f>
        <v>#N/A</v>
      </c>
      <c r="D299" s="4">
        <f>'GS DATA'!J299</f>
        <v>0</v>
      </c>
      <c r="E299" s="37" t="e">
        <f>VLOOKUP(D299,'GS 점포명'!A:B,2,0)</f>
        <v>#N/A</v>
      </c>
      <c r="F299" s="38">
        <f>'GS DATA'!M299</f>
        <v>0</v>
      </c>
      <c r="G299" s="39" t="e">
        <f>VLOOKUP($F299,'GS 제품코드'!$A:$C,3,0)</f>
        <v>#N/A</v>
      </c>
      <c r="H299" s="40">
        <f>'GS DATA'!L299</f>
        <v>0</v>
      </c>
      <c r="I299" s="41">
        <f>'GS DATA'!Q299</f>
        <v>0</v>
      </c>
      <c r="J299" s="42">
        <f>'GS DATA'!S299</f>
        <v>0</v>
      </c>
      <c r="K299" s="43">
        <f t="shared" si="10"/>
        <v>0</v>
      </c>
    </row>
    <row r="300" spans="1:11" ht="15.6">
      <c r="A300" s="49">
        <f>'GS DATA'!X300</f>
        <v>0</v>
      </c>
      <c r="B300" s="4">
        <f>'GS DATA'!J300</f>
        <v>0</v>
      </c>
      <c r="C300" s="37" t="e">
        <f>VLOOKUP(B300,'GS 점포명'!A:B,2,0)</f>
        <v>#N/A</v>
      </c>
      <c r="D300" s="4">
        <f>'GS DATA'!J300</f>
        <v>0</v>
      </c>
      <c r="E300" s="37" t="e">
        <f>VLOOKUP(D300,'GS 점포명'!A:B,2,0)</f>
        <v>#N/A</v>
      </c>
      <c r="F300" s="38">
        <f>'GS DATA'!M300</f>
        <v>0</v>
      </c>
      <c r="G300" s="39" t="e">
        <f>VLOOKUP($F300,'GS 제품코드'!$A:$C,3,0)</f>
        <v>#N/A</v>
      </c>
      <c r="H300" s="40">
        <f>'GS DATA'!L300</f>
        <v>0</v>
      </c>
      <c r="I300" s="41">
        <f>'GS DATA'!Q300</f>
        <v>0</v>
      </c>
      <c r="J300" s="42">
        <f>'GS DATA'!S300</f>
        <v>0</v>
      </c>
      <c r="K300" s="43">
        <f t="shared" si="10"/>
        <v>0</v>
      </c>
    </row>
    <row r="301" spans="1:11" ht="15.6">
      <c r="A301" s="49">
        <f>'GS DATA'!X301</f>
        <v>0</v>
      </c>
      <c r="B301" s="4">
        <f>'GS DATA'!J301</f>
        <v>0</v>
      </c>
      <c r="C301" s="37" t="e">
        <f>VLOOKUP(B301,'GS 점포명'!A:B,2,0)</f>
        <v>#N/A</v>
      </c>
      <c r="D301" s="4">
        <f>'GS DATA'!J301</f>
        <v>0</v>
      </c>
      <c r="E301" s="37" t="e">
        <f>VLOOKUP(D301,'GS 점포명'!A:B,2,0)</f>
        <v>#N/A</v>
      </c>
      <c r="F301" s="38">
        <f>'GS DATA'!M301</f>
        <v>0</v>
      </c>
      <c r="G301" s="39" t="e">
        <f>VLOOKUP($F301,'GS 제품코드'!$A:$C,3,0)</f>
        <v>#N/A</v>
      </c>
      <c r="H301" s="40">
        <f>'GS DATA'!L301</f>
        <v>0</v>
      </c>
      <c r="I301" s="41">
        <f>'GS DATA'!Q301</f>
        <v>0</v>
      </c>
      <c r="J301" s="42">
        <f>'GS DATA'!S301</f>
        <v>0</v>
      </c>
      <c r="K301" s="43">
        <f t="shared" si="10"/>
        <v>0</v>
      </c>
    </row>
    <row r="302" spans="1:11" ht="15.6">
      <c r="A302" s="49">
        <f>'GS DATA'!X302</f>
        <v>0</v>
      </c>
      <c r="B302" s="4">
        <f>'GS DATA'!J302</f>
        <v>0</v>
      </c>
      <c r="C302" s="37" t="e">
        <f>VLOOKUP(B302,'GS 점포명'!A:B,2,0)</f>
        <v>#N/A</v>
      </c>
      <c r="D302" s="4">
        <f>'GS DATA'!J302</f>
        <v>0</v>
      </c>
      <c r="E302" s="37" t="e">
        <f>VLOOKUP(D302,'GS 점포명'!A:B,2,0)</f>
        <v>#N/A</v>
      </c>
      <c r="F302" s="38">
        <f>'GS DATA'!M302</f>
        <v>0</v>
      </c>
      <c r="G302" s="39" t="e">
        <f>VLOOKUP($F302,'GS 제품코드'!$A:$C,3,0)</f>
        <v>#N/A</v>
      </c>
      <c r="H302" s="40">
        <f>'GS DATA'!L302</f>
        <v>0</v>
      </c>
      <c r="I302" s="41">
        <f>'GS DATA'!Q302</f>
        <v>0</v>
      </c>
      <c r="J302" s="42">
        <f>'GS DATA'!S302</f>
        <v>0</v>
      </c>
      <c r="K302" s="43">
        <f t="shared" si="10"/>
        <v>0</v>
      </c>
    </row>
    <row r="303" spans="1:11" ht="15.6">
      <c r="A303" s="49">
        <f>'GS DATA'!X303</f>
        <v>0</v>
      </c>
      <c r="B303" s="4">
        <f>'GS DATA'!J303</f>
        <v>0</v>
      </c>
      <c r="C303" s="37" t="e">
        <f>VLOOKUP(B303,'GS 점포명'!A:B,2,0)</f>
        <v>#N/A</v>
      </c>
      <c r="D303" s="4">
        <f>'GS DATA'!J303</f>
        <v>0</v>
      </c>
      <c r="E303" s="37" t="e">
        <f>VLOOKUP(D303,'GS 점포명'!A:B,2,0)</f>
        <v>#N/A</v>
      </c>
      <c r="F303" s="38">
        <f>'GS DATA'!M303</f>
        <v>0</v>
      </c>
      <c r="G303" s="39" t="e">
        <f>VLOOKUP($F303,'GS 제품코드'!$A:$C,3,0)</f>
        <v>#N/A</v>
      </c>
      <c r="H303" s="40">
        <f>'GS DATA'!L303</f>
        <v>0</v>
      </c>
      <c r="I303" s="41">
        <f>'GS DATA'!Q303</f>
        <v>0</v>
      </c>
      <c r="J303" s="42">
        <f>'GS DATA'!S303</f>
        <v>0</v>
      </c>
      <c r="K303" s="43">
        <f t="shared" si="10"/>
        <v>0</v>
      </c>
    </row>
    <row r="304" spans="1:11" ht="15.6">
      <c r="A304" s="49">
        <f>'GS DATA'!X304</f>
        <v>0</v>
      </c>
      <c r="B304" s="4">
        <f>'GS DATA'!J304</f>
        <v>0</v>
      </c>
      <c r="C304" s="37" t="e">
        <f>VLOOKUP(B304,'GS 점포명'!A:B,2,0)</f>
        <v>#N/A</v>
      </c>
      <c r="D304" s="4">
        <f>'GS DATA'!J304</f>
        <v>0</v>
      </c>
      <c r="E304" s="37" t="e">
        <f>VLOOKUP(D304,'GS 점포명'!A:B,2,0)</f>
        <v>#N/A</v>
      </c>
      <c r="F304" s="38">
        <f>'GS DATA'!M304</f>
        <v>0</v>
      </c>
      <c r="G304" s="39" t="e">
        <f>VLOOKUP($F304,'GS 제품코드'!$A:$C,3,0)</f>
        <v>#N/A</v>
      </c>
      <c r="H304" s="40">
        <f>'GS DATA'!L304</f>
        <v>0</v>
      </c>
      <c r="I304" s="41">
        <f>'GS DATA'!Q304</f>
        <v>0</v>
      </c>
      <c r="J304" s="42">
        <f>'GS DATA'!S304</f>
        <v>0</v>
      </c>
      <c r="K304" s="43">
        <f t="shared" si="10"/>
        <v>0</v>
      </c>
    </row>
    <row r="305" spans="1:11" ht="15.6">
      <c r="A305" s="49">
        <f>'GS DATA'!X305</f>
        <v>0</v>
      </c>
      <c r="B305" s="4">
        <f>'GS DATA'!J305</f>
        <v>0</v>
      </c>
      <c r="C305" s="37" t="e">
        <f>VLOOKUP(B305,'GS 점포명'!A:B,2,0)</f>
        <v>#N/A</v>
      </c>
      <c r="D305" s="4">
        <f>'GS DATA'!J305</f>
        <v>0</v>
      </c>
      <c r="E305" s="37" t="e">
        <f>VLOOKUP(D305,'GS 점포명'!A:B,2,0)</f>
        <v>#N/A</v>
      </c>
      <c r="F305" s="38">
        <f>'GS DATA'!M305</f>
        <v>0</v>
      </c>
      <c r="G305" s="39" t="e">
        <f>VLOOKUP($F305,'GS 제품코드'!$A:$C,3,0)</f>
        <v>#N/A</v>
      </c>
      <c r="H305" s="40">
        <f>'GS DATA'!L305</f>
        <v>0</v>
      </c>
      <c r="I305" s="41">
        <f>'GS DATA'!Q305</f>
        <v>0</v>
      </c>
      <c r="J305" s="42">
        <f>'GS DATA'!S305</f>
        <v>0</v>
      </c>
      <c r="K305" s="43">
        <f t="shared" si="10"/>
        <v>0</v>
      </c>
    </row>
    <row r="306" spans="1:11" ht="15.6">
      <c r="A306" s="49">
        <f>'GS DATA'!X306</f>
        <v>0</v>
      </c>
      <c r="B306" s="4">
        <f>'GS DATA'!J306</f>
        <v>0</v>
      </c>
      <c r="C306" s="37" t="e">
        <f>VLOOKUP(B306,'GS 점포명'!A:B,2,0)</f>
        <v>#N/A</v>
      </c>
      <c r="D306" s="4">
        <f>'GS DATA'!J306</f>
        <v>0</v>
      </c>
      <c r="E306" s="37" t="e">
        <f>VLOOKUP(D306,'GS 점포명'!A:B,2,0)</f>
        <v>#N/A</v>
      </c>
      <c r="F306" s="38">
        <f>'GS DATA'!M306</f>
        <v>0</v>
      </c>
      <c r="G306" s="39" t="e">
        <f>VLOOKUP($F306,'GS 제품코드'!$A:$C,3,0)</f>
        <v>#N/A</v>
      </c>
      <c r="H306" s="40">
        <f>'GS DATA'!L306</f>
        <v>0</v>
      </c>
      <c r="I306" s="41">
        <f>'GS DATA'!Q306</f>
        <v>0</v>
      </c>
      <c r="J306" s="42">
        <f>'GS DATA'!S306</f>
        <v>0</v>
      </c>
      <c r="K306" s="43">
        <f t="shared" si="10"/>
        <v>0</v>
      </c>
    </row>
    <row r="307" spans="1:11" ht="15.6">
      <c r="A307" s="49">
        <f>'GS DATA'!X307</f>
        <v>0</v>
      </c>
      <c r="B307" s="4">
        <f>'GS DATA'!J307</f>
        <v>0</v>
      </c>
      <c r="C307" s="37" t="e">
        <f>VLOOKUP(B307,'GS 점포명'!A:B,2,0)</f>
        <v>#N/A</v>
      </c>
      <c r="D307" s="4">
        <f>'GS DATA'!J307</f>
        <v>0</v>
      </c>
      <c r="E307" s="37" t="e">
        <f>VLOOKUP(D307,'GS 점포명'!A:B,2,0)</f>
        <v>#N/A</v>
      </c>
      <c r="F307" s="38">
        <f>'GS DATA'!M307</f>
        <v>0</v>
      </c>
      <c r="G307" s="39" t="e">
        <f>VLOOKUP($F307,'GS 제품코드'!$A:$C,3,0)</f>
        <v>#N/A</v>
      </c>
      <c r="H307" s="40">
        <f>'GS DATA'!L307</f>
        <v>0</v>
      </c>
      <c r="I307" s="41">
        <f>'GS DATA'!Q307</f>
        <v>0</v>
      </c>
      <c r="J307" s="42">
        <f>'GS DATA'!S307</f>
        <v>0</v>
      </c>
      <c r="K307" s="43">
        <f t="shared" si="10"/>
        <v>0</v>
      </c>
    </row>
    <row r="308" spans="1:11" ht="15.6">
      <c r="A308" s="49">
        <f>'GS DATA'!X308</f>
        <v>0</v>
      </c>
      <c r="B308" s="4">
        <f>'GS DATA'!J308</f>
        <v>0</v>
      </c>
      <c r="C308" s="37" t="e">
        <f>VLOOKUP(B308,'GS 점포명'!A:B,2,0)</f>
        <v>#N/A</v>
      </c>
      <c r="D308" s="4">
        <f>'GS DATA'!J308</f>
        <v>0</v>
      </c>
      <c r="E308" s="37" t="e">
        <f>VLOOKUP(D308,'GS 점포명'!A:B,2,0)</f>
        <v>#N/A</v>
      </c>
      <c r="F308" s="38">
        <f>'GS DATA'!M308</f>
        <v>0</v>
      </c>
      <c r="G308" s="39" t="e">
        <f>VLOOKUP($F308,'GS 제품코드'!$A:$C,3,0)</f>
        <v>#N/A</v>
      </c>
      <c r="H308" s="40">
        <f>'GS DATA'!L308</f>
        <v>0</v>
      </c>
      <c r="I308" s="41">
        <f>'GS DATA'!Q308</f>
        <v>0</v>
      </c>
      <c r="J308" s="42">
        <f>'GS DATA'!S308</f>
        <v>0</v>
      </c>
      <c r="K308" s="43">
        <f t="shared" si="10"/>
        <v>0</v>
      </c>
    </row>
    <row r="309" spans="1:11" ht="15.6">
      <c r="A309" s="49">
        <f>'GS DATA'!X309</f>
        <v>0</v>
      </c>
      <c r="B309" s="4">
        <f>'GS DATA'!J309</f>
        <v>0</v>
      </c>
      <c r="C309" s="37" t="e">
        <f>VLOOKUP(B309,'GS 점포명'!A:B,2,0)</f>
        <v>#N/A</v>
      </c>
      <c r="D309" s="4">
        <f>'GS DATA'!J309</f>
        <v>0</v>
      </c>
      <c r="E309" s="37" t="e">
        <f>VLOOKUP(D309,'GS 점포명'!A:B,2,0)</f>
        <v>#N/A</v>
      </c>
      <c r="F309" s="38">
        <f>'GS DATA'!M309</f>
        <v>0</v>
      </c>
      <c r="G309" s="39" t="e">
        <f>VLOOKUP($F309,'GS 제품코드'!$A:$C,3,0)</f>
        <v>#N/A</v>
      </c>
      <c r="H309" s="40">
        <f>'GS DATA'!L309</f>
        <v>0</v>
      </c>
      <c r="I309" s="41">
        <f>'GS DATA'!Q309</f>
        <v>0</v>
      </c>
      <c r="J309" s="42">
        <f>'GS DATA'!S309</f>
        <v>0</v>
      </c>
      <c r="K309" s="43">
        <f t="shared" si="10"/>
        <v>0</v>
      </c>
    </row>
    <row r="310" spans="1:11" ht="15.6">
      <c r="A310" s="49">
        <f>'GS DATA'!X310</f>
        <v>0</v>
      </c>
      <c r="B310" s="4">
        <f>'GS DATA'!J310</f>
        <v>0</v>
      </c>
      <c r="C310" s="37" t="e">
        <f>VLOOKUP(B310,'GS 점포명'!A:B,2,0)</f>
        <v>#N/A</v>
      </c>
      <c r="D310" s="4">
        <f>'GS DATA'!J310</f>
        <v>0</v>
      </c>
      <c r="E310" s="37" t="e">
        <f>VLOOKUP(D310,'GS 점포명'!A:B,2,0)</f>
        <v>#N/A</v>
      </c>
      <c r="F310" s="38">
        <f>'GS DATA'!M310</f>
        <v>0</v>
      </c>
      <c r="G310" s="39" t="e">
        <f>VLOOKUP($F310,'GS 제품코드'!$A:$C,3,0)</f>
        <v>#N/A</v>
      </c>
      <c r="H310" s="40">
        <f>'GS DATA'!L310</f>
        <v>0</v>
      </c>
      <c r="I310" s="41">
        <f>'GS DATA'!Q310</f>
        <v>0</v>
      </c>
      <c r="J310" s="42">
        <f>'GS DATA'!S310</f>
        <v>0</v>
      </c>
      <c r="K310" s="43">
        <f t="shared" si="10"/>
        <v>0</v>
      </c>
    </row>
    <row r="311" spans="1:11" ht="15.6">
      <c r="A311" s="49">
        <f>'GS DATA'!X311</f>
        <v>0</v>
      </c>
      <c r="B311" s="4">
        <f>'GS DATA'!J311</f>
        <v>0</v>
      </c>
      <c r="C311" s="37" t="e">
        <f>VLOOKUP(B311,'GS 점포명'!A:B,2,0)</f>
        <v>#N/A</v>
      </c>
      <c r="D311" s="4">
        <f>'GS DATA'!J311</f>
        <v>0</v>
      </c>
      <c r="E311" s="37" t="e">
        <f>VLOOKUP(D311,'GS 점포명'!A:B,2,0)</f>
        <v>#N/A</v>
      </c>
      <c r="F311" s="38">
        <f>'GS DATA'!M311</f>
        <v>0</v>
      </c>
      <c r="G311" s="39" t="e">
        <f>VLOOKUP($F311,'GS 제품코드'!$A:$C,3,0)</f>
        <v>#N/A</v>
      </c>
      <c r="H311" s="40">
        <f>'GS DATA'!L311</f>
        <v>0</v>
      </c>
      <c r="I311" s="41">
        <f>'GS DATA'!Q311</f>
        <v>0</v>
      </c>
      <c r="J311" s="42">
        <f>'GS DATA'!S311</f>
        <v>0</v>
      </c>
      <c r="K311" s="43">
        <f t="shared" si="10"/>
        <v>0</v>
      </c>
    </row>
    <row r="312" spans="1:11" ht="15.6">
      <c r="A312" s="49">
        <f>'GS DATA'!X312</f>
        <v>0</v>
      </c>
      <c r="B312" s="4">
        <f>'GS DATA'!J312</f>
        <v>0</v>
      </c>
      <c r="C312" s="37" t="e">
        <f>VLOOKUP(B312,'GS 점포명'!A:B,2,0)</f>
        <v>#N/A</v>
      </c>
      <c r="D312" s="4">
        <f>'GS DATA'!J312</f>
        <v>0</v>
      </c>
      <c r="E312" s="37" t="e">
        <f>VLOOKUP(D312,'GS 점포명'!A:B,2,0)</f>
        <v>#N/A</v>
      </c>
      <c r="F312" s="38">
        <f>'GS DATA'!M312</f>
        <v>0</v>
      </c>
      <c r="G312" s="39" t="e">
        <f>VLOOKUP($F312,'GS 제품코드'!$A:$C,3,0)</f>
        <v>#N/A</v>
      </c>
      <c r="H312" s="40">
        <f>'GS DATA'!L312</f>
        <v>0</v>
      </c>
      <c r="I312" s="41">
        <f>'GS DATA'!Q312</f>
        <v>0</v>
      </c>
      <c r="J312" s="42">
        <f>'GS DATA'!S312</f>
        <v>0</v>
      </c>
      <c r="K312" s="43">
        <f t="shared" si="10"/>
        <v>0</v>
      </c>
    </row>
    <row r="313" spans="1:11" ht="15.6">
      <c r="A313" s="49">
        <f>'GS DATA'!X313</f>
        <v>0</v>
      </c>
      <c r="B313" s="4">
        <f>'GS DATA'!J313</f>
        <v>0</v>
      </c>
      <c r="C313" s="37" t="e">
        <f>VLOOKUP(B313,'GS 점포명'!A:B,2,0)</f>
        <v>#N/A</v>
      </c>
      <c r="D313" s="4">
        <f>'GS DATA'!J313</f>
        <v>0</v>
      </c>
      <c r="E313" s="37" t="e">
        <f>VLOOKUP(D313,'GS 점포명'!A:B,2,0)</f>
        <v>#N/A</v>
      </c>
      <c r="F313" s="38">
        <f>'GS DATA'!M313</f>
        <v>0</v>
      </c>
      <c r="G313" s="39" t="e">
        <f>VLOOKUP($F313,'GS 제품코드'!$A:$C,3,0)</f>
        <v>#N/A</v>
      </c>
      <c r="H313" s="40">
        <f>'GS DATA'!L313</f>
        <v>0</v>
      </c>
      <c r="I313" s="41">
        <f>'GS DATA'!Q313</f>
        <v>0</v>
      </c>
      <c r="J313" s="42">
        <f>'GS DATA'!S313</f>
        <v>0</v>
      </c>
      <c r="K313" s="43">
        <f t="shared" si="10"/>
        <v>0</v>
      </c>
    </row>
    <row r="314" spans="1:11" ht="15.6">
      <c r="A314" s="49">
        <f>'GS DATA'!X314</f>
        <v>0</v>
      </c>
      <c r="B314" s="4">
        <f>'GS DATA'!J314</f>
        <v>0</v>
      </c>
      <c r="C314" s="37" t="e">
        <f>VLOOKUP(B314,'GS 점포명'!A:B,2,0)</f>
        <v>#N/A</v>
      </c>
      <c r="D314" s="4">
        <f>'GS DATA'!J314</f>
        <v>0</v>
      </c>
      <c r="E314" s="37" t="e">
        <f>VLOOKUP(D314,'GS 점포명'!A:B,2,0)</f>
        <v>#N/A</v>
      </c>
      <c r="F314" s="38">
        <f>'GS DATA'!M314</f>
        <v>0</v>
      </c>
      <c r="G314" s="39" t="e">
        <f>VLOOKUP($F314,'GS 제품코드'!$A:$C,3,0)</f>
        <v>#N/A</v>
      </c>
      <c r="H314" s="40">
        <f>'GS DATA'!L314</f>
        <v>0</v>
      </c>
      <c r="I314" s="41">
        <f>'GS DATA'!Q314</f>
        <v>0</v>
      </c>
      <c r="J314" s="42">
        <f>'GS DATA'!S314</f>
        <v>0</v>
      </c>
      <c r="K314" s="43">
        <f t="shared" si="10"/>
        <v>0</v>
      </c>
    </row>
    <row r="315" spans="1:11" ht="15.6">
      <c r="A315" s="49">
        <f>'GS DATA'!X315</f>
        <v>0</v>
      </c>
      <c r="B315" s="4">
        <f>'GS DATA'!J315</f>
        <v>0</v>
      </c>
      <c r="C315" s="37" t="e">
        <f>VLOOKUP(B315,'GS 점포명'!A:B,2,0)</f>
        <v>#N/A</v>
      </c>
      <c r="D315" s="4">
        <f>'GS DATA'!J315</f>
        <v>0</v>
      </c>
      <c r="E315" s="37" t="e">
        <f>VLOOKUP(D315,'GS 점포명'!A:B,2,0)</f>
        <v>#N/A</v>
      </c>
      <c r="F315" s="38">
        <f>'GS DATA'!M315</f>
        <v>0</v>
      </c>
      <c r="G315" s="39" t="e">
        <f>VLOOKUP($F315,'GS 제품코드'!$A:$C,3,0)</f>
        <v>#N/A</v>
      </c>
      <c r="H315" s="40">
        <f>'GS DATA'!L315</f>
        <v>0</v>
      </c>
      <c r="I315" s="41">
        <f>'GS DATA'!Q315</f>
        <v>0</v>
      </c>
      <c r="J315" s="42">
        <f>'GS DATA'!S315</f>
        <v>0</v>
      </c>
      <c r="K315" s="43">
        <f t="shared" si="10"/>
        <v>0</v>
      </c>
    </row>
    <row r="316" spans="1:11" ht="15.6">
      <c r="A316" s="49">
        <f>'GS DATA'!X316</f>
        <v>0</v>
      </c>
      <c r="B316" s="4">
        <f>'GS DATA'!J316</f>
        <v>0</v>
      </c>
      <c r="C316" s="37" t="e">
        <f>VLOOKUP(B316,'GS 점포명'!A:B,2,0)</f>
        <v>#N/A</v>
      </c>
      <c r="D316" s="4">
        <f>'GS DATA'!J316</f>
        <v>0</v>
      </c>
      <c r="E316" s="37" t="e">
        <f>VLOOKUP(D316,'GS 점포명'!A:B,2,0)</f>
        <v>#N/A</v>
      </c>
      <c r="F316" s="38">
        <f>'GS DATA'!M316</f>
        <v>0</v>
      </c>
      <c r="G316" s="39" t="e">
        <f>VLOOKUP($F316,'GS 제품코드'!$A:$C,3,0)</f>
        <v>#N/A</v>
      </c>
      <c r="H316" s="40">
        <f>'GS DATA'!L316</f>
        <v>0</v>
      </c>
      <c r="I316" s="41">
        <f>'GS DATA'!Q316</f>
        <v>0</v>
      </c>
      <c r="J316" s="42">
        <f>'GS DATA'!S316</f>
        <v>0</v>
      </c>
      <c r="K316" s="43">
        <f t="shared" si="10"/>
        <v>0</v>
      </c>
    </row>
    <row r="317" spans="1:11" ht="15.6">
      <c r="A317" s="49">
        <f>'GS DATA'!X317</f>
        <v>0</v>
      </c>
      <c r="B317" s="4">
        <f>'GS DATA'!J317</f>
        <v>0</v>
      </c>
      <c r="C317" s="37" t="e">
        <f>VLOOKUP(B317,'GS 점포명'!A:B,2,0)</f>
        <v>#N/A</v>
      </c>
      <c r="D317" s="4">
        <f>'GS DATA'!J317</f>
        <v>0</v>
      </c>
      <c r="E317" s="37" t="e">
        <f>VLOOKUP(D317,'GS 점포명'!A:B,2,0)</f>
        <v>#N/A</v>
      </c>
      <c r="F317" s="38">
        <f>'GS DATA'!M317</f>
        <v>0</v>
      </c>
      <c r="G317" s="39" t="e">
        <f>VLOOKUP($F317,'GS 제품코드'!$A:$C,3,0)</f>
        <v>#N/A</v>
      </c>
      <c r="H317" s="40">
        <f>'GS DATA'!L317</f>
        <v>0</v>
      </c>
      <c r="I317" s="41">
        <f>'GS DATA'!Q317</f>
        <v>0</v>
      </c>
      <c r="J317" s="42">
        <f>'GS DATA'!S317</f>
        <v>0</v>
      </c>
      <c r="K317" s="43">
        <f t="shared" si="10"/>
        <v>0</v>
      </c>
    </row>
    <row r="318" spans="1:11" ht="15.6">
      <c r="A318" s="49">
        <f>'GS DATA'!X318</f>
        <v>0</v>
      </c>
      <c r="B318" s="4">
        <f>'GS DATA'!J318</f>
        <v>0</v>
      </c>
      <c r="C318" s="37" t="e">
        <f>VLOOKUP(B318,'GS 점포명'!A:B,2,0)</f>
        <v>#N/A</v>
      </c>
      <c r="D318" s="4">
        <f>'GS DATA'!J318</f>
        <v>0</v>
      </c>
      <c r="E318" s="37" t="e">
        <f>VLOOKUP(D318,'GS 점포명'!A:B,2,0)</f>
        <v>#N/A</v>
      </c>
      <c r="F318" s="38">
        <f>'GS DATA'!M318</f>
        <v>0</v>
      </c>
      <c r="G318" s="39" t="e">
        <f>VLOOKUP($F318,'GS 제품코드'!$A:$C,3,0)</f>
        <v>#N/A</v>
      </c>
      <c r="H318" s="40">
        <f>'GS DATA'!L318</f>
        <v>0</v>
      </c>
      <c r="I318" s="41">
        <f>'GS DATA'!Q318</f>
        <v>0</v>
      </c>
      <c r="J318" s="42">
        <f>'GS DATA'!S318</f>
        <v>0</v>
      </c>
      <c r="K318" s="43">
        <f t="shared" si="10"/>
        <v>0</v>
      </c>
    </row>
    <row r="319" spans="1:11" ht="15.6">
      <c r="A319" s="49">
        <f>'GS DATA'!X319</f>
        <v>0</v>
      </c>
      <c r="B319" s="4">
        <f>'GS DATA'!J319</f>
        <v>0</v>
      </c>
      <c r="C319" s="37" t="e">
        <f>VLOOKUP(B319,'GS 점포명'!A:B,2,0)</f>
        <v>#N/A</v>
      </c>
      <c r="D319" s="4">
        <f>'GS DATA'!J319</f>
        <v>0</v>
      </c>
      <c r="E319" s="37" t="e">
        <f>VLOOKUP(D319,'GS 점포명'!A:B,2,0)</f>
        <v>#N/A</v>
      </c>
      <c r="F319" s="38">
        <f>'GS DATA'!M319</f>
        <v>0</v>
      </c>
      <c r="G319" s="39" t="e">
        <f>VLOOKUP($F319,'GS 제품코드'!$A:$C,3,0)</f>
        <v>#N/A</v>
      </c>
      <c r="H319" s="40">
        <f>'GS DATA'!L319</f>
        <v>0</v>
      </c>
      <c r="I319" s="41">
        <f>'GS DATA'!Q319</f>
        <v>0</v>
      </c>
      <c r="J319" s="42">
        <f>'GS DATA'!S319</f>
        <v>0</v>
      </c>
      <c r="K319" s="43">
        <f t="shared" si="10"/>
        <v>0</v>
      </c>
    </row>
    <row r="320" spans="1:11" ht="15.6">
      <c r="A320" s="49">
        <f>'GS DATA'!X320</f>
        <v>0</v>
      </c>
      <c r="B320" s="4">
        <f>'GS DATA'!J320</f>
        <v>0</v>
      </c>
      <c r="C320" s="37" t="e">
        <f>VLOOKUP(B320,'GS 점포명'!A:B,2,0)</f>
        <v>#N/A</v>
      </c>
      <c r="D320" s="4">
        <f>'GS DATA'!J320</f>
        <v>0</v>
      </c>
      <c r="E320" s="37" t="e">
        <f>VLOOKUP(D320,'GS 점포명'!A:B,2,0)</f>
        <v>#N/A</v>
      </c>
      <c r="F320" s="38">
        <f>'GS DATA'!M320</f>
        <v>0</v>
      </c>
      <c r="G320" s="39" t="e">
        <f>VLOOKUP($F320,'GS 제품코드'!$A:$C,3,0)</f>
        <v>#N/A</v>
      </c>
      <c r="H320" s="40">
        <f>'GS DATA'!L320</f>
        <v>0</v>
      </c>
      <c r="I320" s="41">
        <f>'GS DATA'!Q320</f>
        <v>0</v>
      </c>
      <c r="J320" s="42">
        <f>'GS DATA'!S320</f>
        <v>0</v>
      </c>
      <c r="K320" s="43">
        <f t="shared" si="10"/>
        <v>0</v>
      </c>
    </row>
    <row r="321" spans="1:11" ht="15.6">
      <c r="A321" s="49">
        <f>'GS DATA'!X321</f>
        <v>0</v>
      </c>
      <c r="B321" s="4">
        <f>'GS DATA'!J321</f>
        <v>0</v>
      </c>
      <c r="C321" s="37" t="e">
        <f>VLOOKUP(B321,'GS 점포명'!A:B,2,0)</f>
        <v>#N/A</v>
      </c>
      <c r="D321" s="4">
        <f>'GS DATA'!J321</f>
        <v>0</v>
      </c>
      <c r="E321" s="37" t="e">
        <f>VLOOKUP(D321,'GS 점포명'!A:B,2,0)</f>
        <v>#N/A</v>
      </c>
      <c r="F321" s="38">
        <f>'GS DATA'!M321</f>
        <v>0</v>
      </c>
      <c r="G321" s="39" t="e">
        <f>VLOOKUP($F321,'GS 제품코드'!$A:$C,3,0)</f>
        <v>#N/A</v>
      </c>
      <c r="H321" s="40">
        <f>'GS DATA'!L321</f>
        <v>0</v>
      </c>
      <c r="I321" s="41">
        <f>'GS DATA'!Q321</f>
        <v>0</v>
      </c>
      <c r="J321" s="42">
        <f>'GS DATA'!S321</f>
        <v>0</v>
      </c>
      <c r="K321" s="43">
        <f t="shared" si="10"/>
        <v>0</v>
      </c>
    </row>
    <row r="322" spans="1:11" ht="15.6">
      <c r="A322" s="49">
        <f>'GS DATA'!X322</f>
        <v>0</v>
      </c>
      <c r="B322" s="4">
        <f>'GS DATA'!J322</f>
        <v>0</v>
      </c>
      <c r="C322" s="37" t="e">
        <f>VLOOKUP(B322,'GS 점포명'!A:B,2,0)</f>
        <v>#N/A</v>
      </c>
      <c r="D322" s="4">
        <f>'GS DATA'!J322</f>
        <v>0</v>
      </c>
      <c r="E322" s="37" t="e">
        <f>VLOOKUP(D322,'GS 점포명'!A:B,2,0)</f>
        <v>#N/A</v>
      </c>
      <c r="F322" s="38">
        <f>'GS DATA'!M322</f>
        <v>0</v>
      </c>
      <c r="G322" s="39" t="e">
        <f>VLOOKUP($F322,'GS 제품코드'!$A:$C,3,0)</f>
        <v>#N/A</v>
      </c>
      <c r="H322" s="40">
        <f>'GS DATA'!L322</f>
        <v>0</v>
      </c>
      <c r="I322" s="41">
        <f>'GS DATA'!Q322</f>
        <v>0</v>
      </c>
      <c r="J322" s="42">
        <f>'GS DATA'!S322</f>
        <v>0</v>
      </c>
      <c r="K322" s="43">
        <f t="shared" si="10"/>
        <v>0</v>
      </c>
    </row>
    <row r="323" spans="1:11" ht="15.6">
      <c r="A323" s="49">
        <f>'GS DATA'!X323</f>
        <v>0</v>
      </c>
      <c r="B323" s="4">
        <f>'GS DATA'!J323</f>
        <v>0</v>
      </c>
      <c r="C323" s="37" t="e">
        <f>VLOOKUP(B323,'GS 점포명'!A:B,2,0)</f>
        <v>#N/A</v>
      </c>
      <c r="D323" s="4">
        <f>'GS DATA'!J323</f>
        <v>0</v>
      </c>
      <c r="E323" s="37" t="e">
        <f>VLOOKUP(D323,'GS 점포명'!A:B,2,0)</f>
        <v>#N/A</v>
      </c>
      <c r="F323" s="38">
        <f>'GS DATA'!M323</f>
        <v>0</v>
      </c>
      <c r="G323" s="39" t="e">
        <f>VLOOKUP($F323,'GS 제품코드'!$A:$C,3,0)</f>
        <v>#N/A</v>
      </c>
      <c r="H323" s="40">
        <f>'GS DATA'!L323</f>
        <v>0</v>
      </c>
      <c r="I323" s="41">
        <f>'GS DATA'!Q323</f>
        <v>0</v>
      </c>
      <c r="J323" s="42">
        <f>'GS DATA'!S323</f>
        <v>0</v>
      </c>
      <c r="K323" s="43">
        <f t="shared" si="10"/>
        <v>0</v>
      </c>
    </row>
    <row r="324" spans="1:11" ht="15.6">
      <c r="A324" s="49">
        <f>'GS DATA'!X324</f>
        <v>0</v>
      </c>
      <c r="B324" s="4">
        <f>'GS DATA'!J324</f>
        <v>0</v>
      </c>
      <c r="C324" s="37" t="e">
        <f>VLOOKUP(B324,'GS 점포명'!A:B,2,0)</f>
        <v>#N/A</v>
      </c>
      <c r="D324" s="4">
        <f>'GS DATA'!J324</f>
        <v>0</v>
      </c>
      <c r="E324" s="37" t="e">
        <f>VLOOKUP(D324,'GS 점포명'!A:B,2,0)</f>
        <v>#N/A</v>
      </c>
      <c r="F324" s="38">
        <f>'GS DATA'!M324</f>
        <v>0</v>
      </c>
      <c r="G324" s="39" t="e">
        <f>VLOOKUP($F324,'GS 제품코드'!$A:$C,3,0)</f>
        <v>#N/A</v>
      </c>
      <c r="H324" s="40">
        <f>'GS DATA'!L324</f>
        <v>0</v>
      </c>
      <c r="I324" s="41">
        <f>'GS DATA'!Q324</f>
        <v>0</v>
      </c>
      <c r="J324" s="42">
        <f>'GS DATA'!S324</f>
        <v>0</v>
      </c>
      <c r="K324" s="43">
        <f t="shared" si="10"/>
        <v>0</v>
      </c>
    </row>
    <row r="325" spans="1:11" ht="15.6">
      <c r="A325" s="49">
        <f>'GS DATA'!X325</f>
        <v>0</v>
      </c>
      <c r="B325" s="4">
        <f>'GS DATA'!J325</f>
        <v>0</v>
      </c>
      <c r="C325" s="37" t="e">
        <f>VLOOKUP(B325,'GS 점포명'!A:B,2,0)</f>
        <v>#N/A</v>
      </c>
      <c r="D325" s="4">
        <f>'GS DATA'!J325</f>
        <v>0</v>
      </c>
      <c r="E325" s="37" t="e">
        <f>VLOOKUP(D325,'GS 점포명'!A:B,2,0)</f>
        <v>#N/A</v>
      </c>
      <c r="F325" s="38">
        <f>'GS DATA'!M325</f>
        <v>0</v>
      </c>
      <c r="G325" s="39" t="e">
        <f>VLOOKUP($F325,'GS 제품코드'!$A:$C,3,0)</f>
        <v>#N/A</v>
      </c>
      <c r="H325" s="40">
        <f>'GS DATA'!L325</f>
        <v>0</v>
      </c>
      <c r="I325" s="41">
        <f>'GS DATA'!Q325</f>
        <v>0</v>
      </c>
      <c r="J325" s="42">
        <f>'GS DATA'!S325</f>
        <v>0</v>
      </c>
      <c r="K325" s="43">
        <f t="shared" si="10"/>
        <v>0</v>
      </c>
    </row>
    <row r="326" spans="1:11" ht="15.6">
      <c r="A326" s="49">
        <f>'GS DATA'!X326</f>
        <v>0</v>
      </c>
      <c r="B326" s="4">
        <f>'GS DATA'!J326</f>
        <v>0</v>
      </c>
      <c r="C326" s="37" t="e">
        <f>VLOOKUP(B326,'GS 점포명'!A:B,2,0)</f>
        <v>#N/A</v>
      </c>
      <c r="D326" s="4">
        <f>'GS DATA'!J326</f>
        <v>0</v>
      </c>
      <c r="E326" s="37" t="e">
        <f>VLOOKUP(D326,'GS 점포명'!A:B,2,0)</f>
        <v>#N/A</v>
      </c>
      <c r="F326" s="38">
        <f>'GS DATA'!M326</f>
        <v>0</v>
      </c>
      <c r="G326" s="39" t="e">
        <f>VLOOKUP($F326,'GS 제품코드'!$A:$C,3,0)</f>
        <v>#N/A</v>
      </c>
      <c r="H326" s="40">
        <f>'GS DATA'!L326</f>
        <v>0</v>
      </c>
      <c r="I326" s="41">
        <f>'GS DATA'!Q326</f>
        <v>0</v>
      </c>
      <c r="J326" s="42">
        <f>'GS DATA'!S326</f>
        <v>0</v>
      </c>
      <c r="K326" s="43">
        <f t="shared" si="10"/>
        <v>0</v>
      </c>
    </row>
    <row r="327" spans="1:11" ht="15.6">
      <c r="A327" s="49">
        <f>'GS DATA'!X327</f>
        <v>0</v>
      </c>
      <c r="B327" s="4">
        <f>'GS DATA'!J327</f>
        <v>0</v>
      </c>
      <c r="C327" s="37" t="e">
        <f>VLOOKUP(B327,'GS 점포명'!A:B,2,0)</f>
        <v>#N/A</v>
      </c>
      <c r="D327" s="4">
        <f>'GS DATA'!J327</f>
        <v>0</v>
      </c>
      <c r="E327" s="37" t="e">
        <f>VLOOKUP(D327,'GS 점포명'!A:B,2,0)</f>
        <v>#N/A</v>
      </c>
      <c r="F327" s="38">
        <f>'GS DATA'!M327</f>
        <v>0</v>
      </c>
      <c r="G327" s="39" t="e">
        <f>VLOOKUP($F327,'GS 제품코드'!$A:$C,3,0)</f>
        <v>#N/A</v>
      </c>
      <c r="H327" s="40">
        <f>'GS DATA'!L327</f>
        <v>0</v>
      </c>
      <c r="I327" s="41">
        <f>'GS DATA'!Q327</f>
        <v>0</v>
      </c>
      <c r="J327" s="42">
        <f>'GS DATA'!S327</f>
        <v>0</v>
      </c>
      <c r="K327" s="43">
        <f t="shared" si="10"/>
        <v>0</v>
      </c>
    </row>
    <row r="328" spans="1:11" ht="15.6">
      <c r="A328" s="49">
        <f>'GS DATA'!X328</f>
        <v>0</v>
      </c>
      <c r="B328" s="4">
        <f>'GS DATA'!J328</f>
        <v>0</v>
      </c>
      <c r="C328" s="37" t="e">
        <f>VLOOKUP(B328,'GS 점포명'!A:B,2,0)</f>
        <v>#N/A</v>
      </c>
      <c r="D328" s="4">
        <f>'GS DATA'!J328</f>
        <v>0</v>
      </c>
      <c r="E328" s="37" t="e">
        <f>VLOOKUP(D328,'GS 점포명'!A:B,2,0)</f>
        <v>#N/A</v>
      </c>
      <c r="F328" s="38">
        <f>'GS DATA'!M328</f>
        <v>0</v>
      </c>
      <c r="G328" s="39" t="e">
        <f>VLOOKUP($F328,'GS 제품코드'!$A:$C,3,0)</f>
        <v>#N/A</v>
      </c>
      <c r="H328" s="40">
        <f>'GS DATA'!L328</f>
        <v>0</v>
      </c>
      <c r="I328" s="41">
        <f>'GS DATA'!Q328</f>
        <v>0</v>
      </c>
      <c r="J328" s="42">
        <f>'GS DATA'!S328</f>
        <v>0</v>
      </c>
      <c r="K328" s="43">
        <f t="shared" si="10"/>
        <v>0</v>
      </c>
    </row>
    <row r="329" spans="1:11" ht="15.6">
      <c r="A329" s="49">
        <f>'GS DATA'!X329</f>
        <v>0</v>
      </c>
      <c r="B329" s="4">
        <f>'GS DATA'!J329</f>
        <v>0</v>
      </c>
      <c r="C329" s="37" t="e">
        <f>VLOOKUP(B329,'GS 점포명'!A:B,2,0)</f>
        <v>#N/A</v>
      </c>
      <c r="D329" s="4">
        <f>'GS DATA'!J329</f>
        <v>0</v>
      </c>
      <c r="E329" s="37" t="e">
        <f>VLOOKUP(D329,'GS 점포명'!A:B,2,0)</f>
        <v>#N/A</v>
      </c>
      <c r="F329" s="38">
        <f>'GS DATA'!M329</f>
        <v>0</v>
      </c>
      <c r="G329" s="39" t="e">
        <f>VLOOKUP($F329,'GS 제품코드'!$A:$C,3,0)</f>
        <v>#N/A</v>
      </c>
      <c r="H329" s="40">
        <f>'GS DATA'!L329</f>
        <v>0</v>
      </c>
      <c r="I329" s="41">
        <f>'GS DATA'!Q329</f>
        <v>0</v>
      </c>
      <c r="J329" s="42">
        <f>'GS DATA'!S329</f>
        <v>0</v>
      </c>
      <c r="K329" s="43">
        <f t="shared" si="10"/>
        <v>0</v>
      </c>
    </row>
    <row r="330" spans="1:11" ht="15.6">
      <c r="A330" s="49">
        <f>'GS DATA'!X330</f>
        <v>0</v>
      </c>
      <c r="B330" s="4">
        <f>'GS DATA'!J330</f>
        <v>0</v>
      </c>
      <c r="C330" s="37" t="e">
        <f>VLOOKUP(B330,'GS 점포명'!A:B,2,0)</f>
        <v>#N/A</v>
      </c>
      <c r="D330" s="4">
        <f>'GS DATA'!J330</f>
        <v>0</v>
      </c>
      <c r="E330" s="37" t="e">
        <f>VLOOKUP(D330,'GS 점포명'!A:B,2,0)</f>
        <v>#N/A</v>
      </c>
      <c r="F330" s="38">
        <f>'GS DATA'!M330</f>
        <v>0</v>
      </c>
      <c r="G330" s="39" t="e">
        <f>VLOOKUP($F330,'GS 제품코드'!$A:$C,3,0)</f>
        <v>#N/A</v>
      </c>
      <c r="H330" s="40">
        <f>'GS DATA'!L330</f>
        <v>0</v>
      </c>
      <c r="I330" s="41">
        <f>'GS DATA'!Q330</f>
        <v>0</v>
      </c>
      <c r="J330" s="42">
        <f>'GS DATA'!S330</f>
        <v>0</v>
      </c>
      <c r="K330" s="43">
        <f t="shared" si="10"/>
        <v>0</v>
      </c>
    </row>
    <row r="331" spans="1:11" ht="15.6">
      <c r="A331" s="49">
        <f>'GS DATA'!X331</f>
        <v>0</v>
      </c>
      <c r="B331" s="4">
        <f>'GS DATA'!J331</f>
        <v>0</v>
      </c>
      <c r="C331" s="37" t="e">
        <f>VLOOKUP(B331,'GS 점포명'!A:B,2,0)</f>
        <v>#N/A</v>
      </c>
      <c r="D331" s="4">
        <f>'GS DATA'!J331</f>
        <v>0</v>
      </c>
      <c r="E331" s="37" t="e">
        <f>VLOOKUP(D331,'GS 점포명'!A:B,2,0)</f>
        <v>#N/A</v>
      </c>
      <c r="F331" s="38">
        <f>'GS DATA'!M331</f>
        <v>0</v>
      </c>
      <c r="G331" s="39" t="e">
        <f>VLOOKUP($F331,'GS 제품코드'!$A:$C,3,0)</f>
        <v>#N/A</v>
      </c>
      <c r="H331" s="40">
        <f>'GS DATA'!L331</f>
        <v>0</v>
      </c>
      <c r="I331" s="41">
        <f>'GS DATA'!Q331</f>
        <v>0</v>
      </c>
      <c r="J331" s="42">
        <f>'GS DATA'!S331</f>
        <v>0</v>
      </c>
      <c r="K331" s="43">
        <f t="shared" si="10"/>
        <v>0</v>
      </c>
    </row>
    <row r="332" spans="1:11" ht="15.6">
      <c r="A332" s="49">
        <f>'GS DATA'!X332</f>
        <v>0</v>
      </c>
      <c r="B332" s="4">
        <f>'GS DATA'!J332</f>
        <v>0</v>
      </c>
      <c r="C332" s="37" t="e">
        <f>VLOOKUP(B332,'GS 점포명'!A:B,2,0)</f>
        <v>#N/A</v>
      </c>
      <c r="D332" s="4">
        <f>'GS DATA'!J332</f>
        <v>0</v>
      </c>
      <c r="E332" s="37" t="e">
        <f>VLOOKUP(D332,'GS 점포명'!A:B,2,0)</f>
        <v>#N/A</v>
      </c>
      <c r="F332" s="38">
        <f>'GS DATA'!M332</f>
        <v>0</v>
      </c>
      <c r="G332" s="39" t="e">
        <f>VLOOKUP($F332,'GS 제품코드'!$A:$C,3,0)</f>
        <v>#N/A</v>
      </c>
      <c r="H332" s="40">
        <f>'GS DATA'!L332</f>
        <v>0</v>
      </c>
      <c r="I332" s="41">
        <f>'GS DATA'!Q332</f>
        <v>0</v>
      </c>
      <c r="J332" s="42">
        <f>'GS DATA'!S332</f>
        <v>0</v>
      </c>
      <c r="K332" s="43">
        <f t="shared" si="10"/>
        <v>0</v>
      </c>
    </row>
    <row r="333" spans="1:11" ht="15.6">
      <c r="A333" s="49">
        <f>'GS DATA'!X333</f>
        <v>0</v>
      </c>
      <c r="B333" s="4">
        <f>'GS DATA'!J333</f>
        <v>0</v>
      </c>
      <c r="C333" s="37" t="e">
        <f>VLOOKUP(B333,'GS 점포명'!A:B,2,0)</f>
        <v>#N/A</v>
      </c>
      <c r="D333" s="4">
        <f>'GS DATA'!J333</f>
        <v>0</v>
      </c>
      <c r="E333" s="37" t="e">
        <f>VLOOKUP(D333,'GS 점포명'!A:B,2,0)</f>
        <v>#N/A</v>
      </c>
      <c r="F333" s="38">
        <f>'GS DATA'!M333</f>
        <v>0</v>
      </c>
      <c r="G333" s="39" t="e">
        <f>VLOOKUP($F333,'GS 제품코드'!$A:$C,3,0)</f>
        <v>#N/A</v>
      </c>
      <c r="H333" s="40">
        <f>'GS DATA'!L333</f>
        <v>0</v>
      </c>
      <c r="I333" s="41">
        <f>'GS DATA'!Q333</f>
        <v>0</v>
      </c>
      <c r="J333" s="42">
        <f>'GS DATA'!S333</f>
        <v>0</v>
      </c>
      <c r="K333" s="43">
        <f t="shared" si="10"/>
        <v>0</v>
      </c>
    </row>
    <row r="334" spans="1:11" ht="15.6">
      <c r="A334" s="49">
        <f>'GS DATA'!X334</f>
        <v>0</v>
      </c>
      <c r="B334" s="4">
        <f>'GS DATA'!J334</f>
        <v>0</v>
      </c>
      <c r="C334" s="37" t="e">
        <f>VLOOKUP(B334,'GS 점포명'!A:B,2,0)</f>
        <v>#N/A</v>
      </c>
      <c r="D334" s="4">
        <f>'GS DATA'!J334</f>
        <v>0</v>
      </c>
      <c r="E334" s="37" t="e">
        <f>VLOOKUP(D334,'GS 점포명'!A:B,2,0)</f>
        <v>#N/A</v>
      </c>
      <c r="F334" s="38">
        <f>'GS DATA'!M334</f>
        <v>0</v>
      </c>
      <c r="G334" s="39" t="e">
        <f>VLOOKUP($F334,'GS 제품코드'!$A:$C,3,0)</f>
        <v>#N/A</v>
      </c>
      <c r="H334" s="40">
        <f>'GS DATA'!L334</f>
        <v>0</v>
      </c>
      <c r="I334" s="41">
        <f>'GS DATA'!Q334</f>
        <v>0</v>
      </c>
      <c r="J334" s="42">
        <f>'GS DATA'!S334</f>
        <v>0</v>
      </c>
      <c r="K334" s="43">
        <f t="shared" si="10"/>
        <v>0</v>
      </c>
    </row>
    <row r="335" spans="1:11" ht="15.6">
      <c r="A335" s="49">
        <f>'GS DATA'!X335</f>
        <v>0</v>
      </c>
      <c r="B335" s="4">
        <f>'GS DATA'!J335</f>
        <v>0</v>
      </c>
      <c r="C335" s="37" t="e">
        <f>VLOOKUP(B335,'GS 점포명'!A:B,2,0)</f>
        <v>#N/A</v>
      </c>
      <c r="D335" s="4">
        <f>'GS DATA'!J335</f>
        <v>0</v>
      </c>
      <c r="E335" s="37" t="e">
        <f>VLOOKUP(D335,'GS 점포명'!A:B,2,0)</f>
        <v>#N/A</v>
      </c>
      <c r="F335" s="38">
        <f>'GS DATA'!M335</f>
        <v>0</v>
      </c>
      <c r="G335" s="39" t="e">
        <f>VLOOKUP($F335,'GS 제품코드'!$A:$C,3,0)</f>
        <v>#N/A</v>
      </c>
      <c r="H335" s="40">
        <f>'GS DATA'!L335</f>
        <v>0</v>
      </c>
      <c r="I335" s="41">
        <f>'GS DATA'!Q335</f>
        <v>0</v>
      </c>
      <c r="J335" s="42">
        <f>'GS DATA'!S335</f>
        <v>0</v>
      </c>
      <c r="K335" s="43">
        <f t="shared" si="10"/>
        <v>0</v>
      </c>
    </row>
    <row r="336" spans="1:11" ht="15.6">
      <c r="A336" s="49">
        <f>'GS DATA'!X336</f>
        <v>0</v>
      </c>
      <c r="B336" s="4">
        <f>'GS DATA'!J336</f>
        <v>0</v>
      </c>
      <c r="C336" s="37" t="e">
        <f>VLOOKUP(B336,'GS 점포명'!A:B,2,0)</f>
        <v>#N/A</v>
      </c>
      <c r="D336" s="4">
        <f>'GS DATA'!J336</f>
        <v>0</v>
      </c>
      <c r="E336" s="37" t="e">
        <f>VLOOKUP(D336,'GS 점포명'!A:B,2,0)</f>
        <v>#N/A</v>
      </c>
      <c r="F336" s="38">
        <f>'GS DATA'!M336</f>
        <v>0</v>
      </c>
      <c r="G336" s="39" t="e">
        <f>VLOOKUP($F336,'GS 제품코드'!$A:$C,3,0)</f>
        <v>#N/A</v>
      </c>
      <c r="H336" s="40">
        <f>'GS DATA'!L336</f>
        <v>0</v>
      </c>
      <c r="I336" s="41">
        <f>'GS DATA'!Q336</f>
        <v>0</v>
      </c>
      <c r="J336" s="42">
        <f>'GS DATA'!S336</f>
        <v>0</v>
      </c>
      <c r="K336" s="43">
        <f t="shared" si="10"/>
        <v>0</v>
      </c>
    </row>
    <row r="337" spans="1:11" ht="15.6">
      <c r="A337" s="49">
        <f>'GS DATA'!X337</f>
        <v>0</v>
      </c>
      <c r="B337" s="4">
        <f>'GS DATA'!J337</f>
        <v>0</v>
      </c>
      <c r="C337" s="37" t="e">
        <f>VLOOKUP(B337,'GS 점포명'!A:B,2,0)</f>
        <v>#N/A</v>
      </c>
      <c r="D337" s="4">
        <f>'GS DATA'!J337</f>
        <v>0</v>
      </c>
      <c r="E337" s="37" t="e">
        <f>VLOOKUP(D337,'GS 점포명'!A:B,2,0)</f>
        <v>#N/A</v>
      </c>
      <c r="F337" s="38">
        <f>'GS DATA'!M337</f>
        <v>0</v>
      </c>
      <c r="G337" s="39" t="e">
        <f>VLOOKUP($F337,'GS 제품코드'!$A:$C,3,0)</f>
        <v>#N/A</v>
      </c>
      <c r="H337" s="40">
        <f>'GS DATA'!L337</f>
        <v>0</v>
      </c>
      <c r="I337" s="41">
        <f>'GS DATA'!Q337</f>
        <v>0</v>
      </c>
      <c r="J337" s="42">
        <f>'GS DATA'!S337</f>
        <v>0</v>
      </c>
      <c r="K337" s="43">
        <f t="shared" si="10"/>
        <v>0</v>
      </c>
    </row>
    <row r="338" spans="1:11" ht="15.6">
      <c r="A338" s="49">
        <f>'GS DATA'!X338</f>
        <v>0</v>
      </c>
      <c r="B338" s="4">
        <f>'GS DATA'!J338</f>
        <v>0</v>
      </c>
      <c r="C338" s="37" t="e">
        <f>VLOOKUP(B338,'GS 점포명'!A:B,2,0)</f>
        <v>#N/A</v>
      </c>
      <c r="D338" s="4">
        <f>'GS DATA'!J338</f>
        <v>0</v>
      </c>
      <c r="E338" s="37" t="e">
        <f>VLOOKUP(D338,'GS 점포명'!A:B,2,0)</f>
        <v>#N/A</v>
      </c>
      <c r="F338" s="38">
        <f>'GS DATA'!M338</f>
        <v>0</v>
      </c>
      <c r="G338" s="39" t="e">
        <f>VLOOKUP($F338,'GS 제품코드'!$A:$C,3,0)</f>
        <v>#N/A</v>
      </c>
      <c r="H338" s="40">
        <f>'GS DATA'!L338</f>
        <v>0</v>
      </c>
      <c r="I338" s="41">
        <f>'GS DATA'!Q338</f>
        <v>0</v>
      </c>
      <c r="J338" s="42">
        <f>'GS DATA'!S338</f>
        <v>0</v>
      </c>
      <c r="K338" s="43">
        <f t="shared" si="10"/>
        <v>0</v>
      </c>
    </row>
    <row r="339" spans="1:11" ht="15.6">
      <c r="A339" s="49">
        <f>'GS DATA'!X339</f>
        <v>0</v>
      </c>
      <c r="B339" s="4">
        <f>'GS DATA'!J339</f>
        <v>0</v>
      </c>
      <c r="C339" s="37" t="e">
        <f>VLOOKUP(B339,'GS 점포명'!A:B,2,0)</f>
        <v>#N/A</v>
      </c>
      <c r="D339" s="4">
        <f>'GS DATA'!J339</f>
        <v>0</v>
      </c>
      <c r="E339" s="37" t="e">
        <f>VLOOKUP(D339,'GS 점포명'!A:B,2,0)</f>
        <v>#N/A</v>
      </c>
      <c r="F339" s="38">
        <f>'GS DATA'!M339</f>
        <v>0</v>
      </c>
      <c r="G339" s="39" t="e">
        <f>VLOOKUP($F339,'GS 제품코드'!$A:$C,3,0)</f>
        <v>#N/A</v>
      </c>
      <c r="H339" s="40">
        <f>'GS DATA'!L339</f>
        <v>0</v>
      </c>
      <c r="I339" s="41">
        <f>'GS DATA'!Q339</f>
        <v>0</v>
      </c>
      <c r="J339" s="42">
        <f>'GS DATA'!S339</f>
        <v>0</v>
      </c>
      <c r="K339" s="43">
        <f t="shared" si="10"/>
        <v>0</v>
      </c>
    </row>
    <row r="340" spans="1:11" ht="15.6">
      <c r="A340" s="49">
        <f>'GS DATA'!X340</f>
        <v>0</v>
      </c>
      <c r="B340" s="4">
        <f>'GS DATA'!J340</f>
        <v>0</v>
      </c>
      <c r="C340" s="37" t="e">
        <f>VLOOKUP(B340,'GS 점포명'!A:B,2,0)</f>
        <v>#N/A</v>
      </c>
      <c r="D340" s="4">
        <f>'GS DATA'!J340</f>
        <v>0</v>
      </c>
      <c r="E340" s="37" t="e">
        <f>VLOOKUP(D340,'GS 점포명'!A:B,2,0)</f>
        <v>#N/A</v>
      </c>
      <c r="F340" s="38">
        <f>'GS DATA'!M340</f>
        <v>0</v>
      </c>
      <c r="G340" s="39" t="e">
        <f>VLOOKUP($F340,'GS 제품코드'!$A:$C,3,0)</f>
        <v>#N/A</v>
      </c>
      <c r="H340" s="40">
        <f>'GS DATA'!L340</f>
        <v>0</v>
      </c>
      <c r="I340" s="41">
        <f>'GS DATA'!Q340</f>
        <v>0</v>
      </c>
      <c r="J340" s="42">
        <f>'GS DATA'!S340</f>
        <v>0</v>
      </c>
      <c r="K340" s="43">
        <f t="shared" si="10"/>
        <v>0</v>
      </c>
    </row>
    <row r="341" spans="1:11" ht="15.6">
      <c r="A341" s="49">
        <f>'GS DATA'!X341</f>
        <v>0</v>
      </c>
      <c r="B341" s="4">
        <f>'GS DATA'!J341</f>
        <v>0</v>
      </c>
      <c r="C341" s="37" t="e">
        <f>VLOOKUP(B341,'GS 점포명'!A:B,2,0)</f>
        <v>#N/A</v>
      </c>
      <c r="D341" s="4">
        <f>'GS DATA'!J341</f>
        <v>0</v>
      </c>
      <c r="E341" s="37" t="e">
        <f>VLOOKUP(D341,'GS 점포명'!A:B,2,0)</f>
        <v>#N/A</v>
      </c>
      <c r="F341" s="38">
        <f>'GS DATA'!M341</f>
        <v>0</v>
      </c>
      <c r="G341" s="39" t="e">
        <f>VLOOKUP($F341,'GS 제품코드'!$A:$C,3,0)</f>
        <v>#N/A</v>
      </c>
      <c r="H341" s="40">
        <f>'GS DATA'!L341</f>
        <v>0</v>
      </c>
      <c r="I341" s="41">
        <f>'GS DATA'!Q341</f>
        <v>0</v>
      </c>
      <c r="J341" s="42">
        <f>'GS DATA'!S341</f>
        <v>0</v>
      </c>
      <c r="K341" s="43">
        <f t="shared" si="10"/>
        <v>0</v>
      </c>
    </row>
    <row r="342" spans="1:11" ht="15.6">
      <c r="A342" s="49">
        <f>'GS DATA'!X342</f>
        <v>0</v>
      </c>
      <c r="B342" s="4">
        <f>'GS DATA'!J342</f>
        <v>0</v>
      </c>
      <c r="C342" s="37" t="e">
        <f>VLOOKUP(B342,'GS 점포명'!A:B,2,0)</f>
        <v>#N/A</v>
      </c>
      <c r="D342" s="4">
        <f>'GS DATA'!J342</f>
        <v>0</v>
      </c>
      <c r="E342" s="37" t="e">
        <f>VLOOKUP(D342,'GS 점포명'!A:B,2,0)</f>
        <v>#N/A</v>
      </c>
      <c r="F342" s="38">
        <f>'GS DATA'!M342</f>
        <v>0</v>
      </c>
      <c r="G342" s="39" t="e">
        <f>VLOOKUP($F342,'GS 제품코드'!$A:$C,3,0)</f>
        <v>#N/A</v>
      </c>
      <c r="H342" s="40">
        <f>'GS DATA'!L342</f>
        <v>0</v>
      </c>
      <c r="I342" s="41">
        <f>'GS DATA'!Q342</f>
        <v>0</v>
      </c>
      <c r="J342" s="42">
        <f>'GS DATA'!S342</f>
        <v>0</v>
      </c>
      <c r="K342" s="43">
        <f t="shared" si="10"/>
        <v>0</v>
      </c>
    </row>
    <row r="343" spans="1:11" ht="15.6">
      <c r="A343" s="49">
        <f>'GS DATA'!X343</f>
        <v>0</v>
      </c>
      <c r="B343" s="4">
        <f>'GS DATA'!J343</f>
        <v>0</v>
      </c>
      <c r="C343" s="37" t="e">
        <f>VLOOKUP(B343,'GS 점포명'!A:B,2,0)</f>
        <v>#N/A</v>
      </c>
      <c r="D343" s="4">
        <f>'GS DATA'!J343</f>
        <v>0</v>
      </c>
      <c r="E343" s="37" t="e">
        <f>VLOOKUP(D343,'GS 점포명'!A:B,2,0)</f>
        <v>#N/A</v>
      </c>
      <c r="F343" s="38">
        <f>'GS DATA'!M343</f>
        <v>0</v>
      </c>
      <c r="G343" s="39" t="e">
        <f>VLOOKUP($F343,'GS 제품코드'!$A:$C,3,0)</f>
        <v>#N/A</v>
      </c>
      <c r="H343" s="40">
        <f>'GS DATA'!L343</f>
        <v>0</v>
      </c>
      <c r="I343" s="41">
        <f>'GS DATA'!Q343</f>
        <v>0</v>
      </c>
      <c r="J343" s="42">
        <f>'GS DATA'!S343</f>
        <v>0</v>
      </c>
      <c r="K343" s="43">
        <f t="shared" si="10"/>
        <v>0</v>
      </c>
    </row>
    <row r="344" spans="1:11" ht="15.6">
      <c r="A344" s="49">
        <f>'GS DATA'!X344</f>
        <v>0</v>
      </c>
      <c r="B344" s="4">
        <f>'GS DATA'!J344</f>
        <v>0</v>
      </c>
      <c r="C344" s="37" t="e">
        <f>VLOOKUP(B344,'GS 점포명'!A:B,2,0)</f>
        <v>#N/A</v>
      </c>
      <c r="D344" s="4">
        <f>'GS DATA'!J344</f>
        <v>0</v>
      </c>
      <c r="E344" s="37" t="e">
        <f>VLOOKUP(D344,'GS 점포명'!A:B,2,0)</f>
        <v>#N/A</v>
      </c>
      <c r="F344" s="38">
        <f>'GS DATA'!M344</f>
        <v>0</v>
      </c>
      <c r="G344" s="39" t="e">
        <f>VLOOKUP($F344,'GS 제품코드'!$A:$C,3,0)</f>
        <v>#N/A</v>
      </c>
      <c r="H344" s="40">
        <f>'GS DATA'!L344</f>
        <v>0</v>
      </c>
      <c r="I344" s="41">
        <f>'GS DATA'!Q344</f>
        <v>0</v>
      </c>
      <c r="J344" s="42">
        <f>'GS DATA'!S344</f>
        <v>0</v>
      </c>
      <c r="K344" s="43">
        <f t="shared" si="10"/>
        <v>0</v>
      </c>
    </row>
    <row r="345" spans="1:11" ht="15.6">
      <c r="A345" s="49">
        <f>'GS DATA'!X345</f>
        <v>0</v>
      </c>
      <c r="B345" s="4">
        <f>'GS DATA'!J345</f>
        <v>0</v>
      </c>
      <c r="C345" s="37" t="e">
        <f>VLOOKUP(B345,'GS 점포명'!A:B,2,0)</f>
        <v>#N/A</v>
      </c>
      <c r="D345" s="4">
        <f>'GS DATA'!J345</f>
        <v>0</v>
      </c>
      <c r="E345" s="37" t="e">
        <f>VLOOKUP(D345,'GS 점포명'!A:B,2,0)</f>
        <v>#N/A</v>
      </c>
      <c r="F345" s="38">
        <f>'GS DATA'!M345</f>
        <v>0</v>
      </c>
      <c r="G345" s="39" t="e">
        <f>VLOOKUP($F345,'GS 제품코드'!$A:$C,3,0)</f>
        <v>#N/A</v>
      </c>
      <c r="H345" s="40">
        <f>'GS DATA'!L345</f>
        <v>0</v>
      </c>
      <c r="I345" s="41">
        <f>'GS DATA'!Q345</f>
        <v>0</v>
      </c>
      <c r="J345" s="42">
        <f>'GS DATA'!S345</f>
        <v>0</v>
      </c>
      <c r="K345" s="43">
        <f t="shared" si="10"/>
        <v>0</v>
      </c>
    </row>
    <row r="346" spans="1:11" ht="15.6">
      <c r="A346" s="49">
        <f>'GS DATA'!X346</f>
        <v>0</v>
      </c>
      <c r="B346" s="4">
        <f>'GS DATA'!J346</f>
        <v>0</v>
      </c>
      <c r="C346" s="37" t="e">
        <f>VLOOKUP(B346,'GS 점포명'!A:B,2,0)</f>
        <v>#N/A</v>
      </c>
      <c r="D346" s="4">
        <f>'GS DATA'!J346</f>
        <v>0</v>
      </c>
      <c r="E346" s="37" t="e">
        <f>VLOOKUP(D346,'GS 점포명'!A:B,2,0)</f>
        <v>#N/A</v>
      </c>
      <c r="F346" s="38">
        <f>'GS DATA'!M346</f>
        <v>0</v>
      </c>
      <c r="G346" s="39" t="e">
        <f>VLOOKUP($F346,'GS 제품코드'!$A:$C,3,0)</f>
        <v>#N/A</v>
      </c>
      <c r="H346" s="40">
        <f>'GS DATA'!L346</f>
        <v>0</v>
      </c>
      <c r="I346" s="41">
        <f>'GS DATA'!Q346</f>
        <v>0</v>
      </c>
      <c r="J346" s="42">
        <f>'GS DATA'!S346</f>
        <v>0</v>
      </c>
      <c r="K346" s="43">
        <f t="shared" si="10"/>
        <v>0</v>
      </c>
    </row>
    <row r="347" spans="1:11" ht="15.6">
      <c r="A347" s="49">
        <f>'GS DATA'!X347</f>
        <v>0</v>
      </c>
      <c r="B347" s="4">
        <f>'GS DATA'!J347</f>
        <v>0</v>
      </c>
      <c r="C347" s="37" t="e">
        <f>VLOOKUP(B347,'GS 점포명'!A:B,2,0)</f>
        <v>#N/A</v>
      </c>
      <c r="D347" s="4">
        <f>'GS DATA'!J347</f>
        <v>0</v>
      </c>
      <c r="E347" s="37" t="e">
        <f>VLOOKUP(D347,'GS 점포명'!A:B,2,0)</f>
        <v>#N/A</v>
      </c>
      <c r="F347" s="38">
        <f>'GS DATA'!M347</f>
        <v>0</v>
      </c>
      <c r="G347" s="39" t="e">
        <f>VLOOKUP($F347,'GS 제품코드'!$A:$C,3,0)</f>
        <v>#N/A</v>
      </c>
      <c r="H347" s="40">
        <f>'GS DATA'!L347</f>
        <v>0</v>
      </c>
      <c r="I347" s="41">
        <f>'GS DATA'!Q347</f>
        <v>0</v>
      </c>
      <c r="J347" s="42">
        <f>'GS DATA'!S347</f>
        <v>0</v>
      </c>
      <c r="K347" s="43">
        <f t="shared" si="10"/>
        <v>0</v>
      </c>
    </row>
    <row r="348" spans="1:11" ht="15.6">
      <c r="A348" s="49">
        <f>'GS DATA'!X348</f>
        <v>0</v>
      </c>
      <c r="B348" s="4">
        <f>'GS DATA'!J348</f>
        <v>0</v>
      </c>
      <c r="C348" s="37" t="e">
        <f>VLOOKUP(B348,'GS 점포명'!A:B,2,0)</f>
        <v>#N/A</v>
      </c>
      <c r="D348" s="4">
        <f>'GS DATA'!J348</f>
        <v>0</v>
      </c>
      <c r="E348" s="37" t="e">
        <f>VLOOKUP(D348,'GS 점포명'!A:B,2,0)</f>
        <v>#N/A</v>
      </c>
      <c r="F348" s="38">
        <f>'GS DATA'!M348</f>
        <v>0</v>
      </c>
      <c r="G348" s="39" t="e">
        <f>VLOOKUP($F348,'GS 제품코드'!$A:$C,3,0)</f>
        <v>#N/A</v>
      </c>
      <c r="H348" s="40">
        <f>'GS DATA'!L348</f>
        <v>0</v>
      </c>
      <c r="I348" s="41">
        <f>'GS DATA'!Q348</f>
        <v>0</v>
      </c>
      <c r="J348" s="42">
        <f>'GS DATA'!S348</f>
        <v>0</v>
      </c>
      <c r="K348" s="43">
        <f t="shared" si="10"/>
        <v>0</v>
      </c>
    </row>
    <row r="349" spans="1:11" ht="15.6">
      <c r="A349" s="49">
        <f>'GS DATA'!X349</f>
        <v>0</v>
      </c>
      <c r="B349" s="4">
        <f>'GS DATA'!J349</f>
        <v>0</v>
      </c>
      <c r="C349" s="37" t="e">
        <f>VLOOKUP(B349,'GS 점포명'!A:B,2,0)</f>
        <v>#N/A</v>
      </c>
      <c r="D349" s="4">
        <f>'GS DATA'!J349</f>
        <v>0</v>
      </c>
      <c r="E349" s="37" t="e">
        <f>VLOOKUP(D349,'GS 점포명'!A:B,2,0)</f>
        <v>#N/A</v>
      </c>
      <c r="F349" s="38">
        <f>'GS DATA'!M349</f>
        <v>0</v>
      </c>
      <c r="G349" s="39" t="e">
        <f>VLOOKUP($F349,'GS 제품코드'!$A:$C,3,0)</f>
        <v>#N/A</v>
      </c>
      <c r="H349" s="40">
        <f>'GS DATA'!L349</f>
        <v>0</v>
      </c>
      <c r="I349" s="41">
        <f>'GS DATA'!Q349</f>
        <v>0</v>
      </c>
      <c r="J349" s="42">
        <f>'GS DATA'!S349</f>
        <v>0</v>
      </c>
      <c r="K349" s="43">
        <f t="shared" si="10"/>
        <v>0</v>
      </c>
    </row>
    <row r="350" spans="1:11" ht="15.6">
      <c r="A350" s="49">
        <f>'GS DATA'!X350</f>
        <v>0</v>
      </c>
      <c r="B350" s="4">
        <f>'GS DATA'!J350</f>
        <v>0</v>
      </c>
      <c r="C350" s="37" t="e">
        <f>VLOOKUP(B350,'GS 점포명'!A:B,2,0)</f>
        <v>#N/A</v>
      </c>
      <c r="D350" s="4">
        <f>'GS DATA'!J350</f>
        <v>0</v>
      </c>
      <c r="E350" s="37" t="e">
        <f>VLOOKUP(D350,'GS 점포명'!A:B,2,0)</f>
        <v>#N/A</v>
      </c>
      <c r="F350" s="38">
        <f>'GS DATA'!M350</f>
        <v>0</v>
      </c>
      <c r="G350" s="39" t="e">
        <f>VLOOKUP($F350,'GS 제품코드'!$A:$C,3,0)</f>
        <v>#N/A</v>
      </c>
      <c r="H350" s="40">
        <f>'GS DATA'!L350</f>
        <v>0</v>
      </c>
      <c r="I350" s="41">
        <f>'GS DATA'!Q350</f>
        <v>0</v>
      </c>
      <c r="J350" s="42">
        <f>'GS DATA'!S350</f>
        <v>0</v>
      </c>
      <c r="K350" s="43">
        <f t="shared" si="10"/>
        <v>0</v>
      </c>
    </row>
    <row r="351" spans="1:11" ht="15.6">
      <c r="A351" s="49">
        <f>'GS DATA'!X351</f>
        <v>0</v>
      </c>
      <c r="B351" s="4">
        <f>'GS DATA'!J351</f>
        <v>0</v>
      </c>
      <c r="C351" s="37" t="e">
        <f>VLOOKUP(B351,'GS 점포명'!A:B,2,0)</f>
        <v>#N/A</v>
      </c>
      <c r="D351" s="4">
        <f>'GS DATA'!J351</f>
        <v>0</v>
      </c>
      <c r="E351" s="37" t="e">
        <f>VLOOKUP(D351,'GS 점포명'!A:B,2,0)</f>
        <v>#N/A</v>
      </c>
      <c r="F351" s="38">
        <f>'GS DATA'!M351</f>
        <v>0</v>
      </c>
      <c r="G351" s="39" t="e">
        <f>VLOOKUP($F351,'GS 제품코드'!$A:$C,3,0)</f>
        <v>#N/A</v>
      </c>
      <c r="H351" s="40">
        <f>'GS DATA'!L351</f>
        <v>0</v>
      </c>
      <c r="I351" s="41">
        <f>'GS DATA'!Q351</f>
        <v>0</v>
      </c>
      <c r="J351" s="42">
        <f>'GS DATA'!S351</f>
        <v>0</v>
      </c>
      <c r="K351" s="43">
        <f t="shared" si="10"/>
        <v>0</v>
      </c>
    </row>
    <row r="352" spans="1:11" ht="15.6">
      <c r="A352" s="49">
        <f>'GS DATA'!X352</f>
        <v>0</v>
      </c>
      <c r="B352" s="4">
        <f>'GS DATA'!J352</f>
        <v>0</v>
      </c>
      <c r="C352" s="37" t="e">
        <f>VLOOKUP(B352,'GS 점포명'!A:B,2,0)</f>
        <v>#N/A</v>
      </c>
      <c r="D352" s="4">
        <f>'GS DATA'!J352</f>
        <v>0</v>
      </c>
      <c r="E352" s="37" t="e">
        <f>VLOOKUP(D352,'GS 점포명'!A:B,2,0)</f>
        <v>#N/A</v>
      </c>
      <c r="F352" s="38">
        <f>'GS DATA'!M352</f>
        <v>0</v>
      </c>
      <c r="G352" s="39" t="e">
        <f>VLOOKUP($F352,'GS 제품코드'!$A:$C,3,0)</f>
        <v>#N/A</v>
      </c>
      <c r="H352" s="40">
        <f>'GS DATA'!L352</f>
        <v>0</v>
      </c>
      <c r="I352" s="41">
        <f>'GS DATA'!Q352</f>
        <v>0</v>
      </c>
      <c r="J352" s="42">
        <f>'GS DATA'!S352</f>
        <v>0</v>
      </c>
      <c r="K352" s="43">
        <f t="shared" si="10"/>
        <v>0</v>
      </c>
    </row>
    <row r="353" spans="1:11" ht="15.6">
      <c r="A353" s="49">
        <f>'GS DATA'!X353</f>
        <v>0</v>
      </c>
      <c r="B353" s="4">
        <f>'GS DATA'!J353</f>
        <v>0</v>
      </c>
      <c r="C353" s="37" t="e">
        <f>VLOOKUP(B353,'GS 점포명'!A:B,2,0)</f>
        <v>#N/A</v>
      </c>
      <c r="D353" s="4">
        <f>'GS DATA'!J353</f>
        <v>0</v>
      </c>
      <c r="E353" s="37" t="e">
        <f>VLOOKUP(D353,'GS 점포명'!A:B,2,0)</f>
        <v>#N/A</v>
      </c>
      <c r="F353" s="38">
        <f>'GS DATA'!M353</f>
        <v>0</v>
      </c>
      <c r="G353" s="39" t="e">
        <f>VLOOKUP($F353,'GS 제품코드'!$A:$C,3,0)</f>
        <v>#N/A</v>
      </c>
      <c r="H353" s="40">
        <f>'GS DATA'!L353</f>
        <v>0</v>
      </c>
      <c r="I353" s="41">
        <f>'GS DATA'!Q353</f>
        <v>0</v>
      </c>
      <c r="J353" s="42">
        <f>'GS DATA'!S353</f>
        <v>0</v>
      </c>
      <c r="K353" s="43">
        <f t="shared" si="10"/>
        <v>0</v>
      </c>
    </row>
    <row r="354" spans="1:11" ht="15.6">
      <c r="A354" s="49">
        <f>'GS DATA'!X354</f>
        <v>0</v>
      </c>
      <c r="B354" s="4">
        <f>'GS DATA'!J354</f>
        <v>0</v>
      </c>
      <c r="C354" s="37" t="e">
        <f>VLOOKUP(B354,'GS 점포명'!A:B,2,0)</f>
        <v>#N/A</v>
      </c>
      <c r="D354" s="4">
        <f>'GS DATA'!J354</f>
        <v>0</v>
      </c>
      <c r="E354" s="37" t="e">
        <f>VLOOKUP(D354,'GS 점포명'!A:B,2,0)</f>
        <v>#N/A</v>
      </c>
      <c r="F354" s="38">
        <f>'GS DATA'!M354</f>
        <v>0</v>
      </c>
      <c r="G354" s="39" t="e">
        <f>VLOOKUP($F354,'GS 제품코드'!$A:$C,3,0)</f>
        <v>#N/A</v>
      </c>
      <c r="H354" s="40">
        <f>'GS DATA'!L354</f>
        <v>0</v>
      </c>
      <c r="I354" s="41">
        <f>'GS DATA'!Q354</f>
        <v>0</v>
      </c>
      <c r="J354" s="42">
        <f>'GS DATA'!S354</f>
        <v>0</v>
      </c>
      <c r="K354" s="43">
        <f t="shared" si="10"/>
        <v>0</v>
      </c>
    </row>
    <row r="355" spans="1:11" ht="15.6">
      <c r="A355" s="49">
        <f>'GS DATA'!X355</f>
        <v>0</v>
      </c>
      <c r="B355" s="4">
        <f>'GS DATA'!J355</f>
        <v>0</v>
      </c>
      <c r="C355" s="37" t="e">
        <f>VLOOKUP(B355,'GS 점포명'!A:B,2,0)</f>
        <v>#N/A</v>
      </c>
      <c r="D355" s="4">
        <f>'GS DATA'!J355</f>
        <v>0</v>
      </c>
      <c r="E355" s="37" t="e">
        <f>VLOOKUP(D355,'GS 점포명'!A:B,2,0)</f>
        <v>#N/A</v>
      </c>
      <c r="F355" s="38">
        <f>'GS DATA'!M355</f>
        <v>0</v>
      </c>
      <c r="G355" s="39" t="e">
        <f>VLOOKUP($F355,'GS 제품코드'!$A:$C,3,0)</f>
        <v>#N/A</v>
      </c>
      <c r="H355" s="40">
        <f>'GS DATA'!L355</f>
        <v>0</v>
      </c>
      <c r="I355" s="41">
        <f>'GS DATA'!Q355</f>
        <v>0</v>
      </c>
      <c r="J355" s="42">
        <f>'GS DATA'!S355</f>
        <v>0</v>
      </c>
      <c r="K355" s="43">
        <f t="shared" ref="K355:K399" si="11">I355*J355</f>
        <v>0</v>
      </c>
    </row>
    <row r="356" spans="1:11" ht="15.6">
      <c r="A356" s="49">
        <f>'GS DATA'!X356</f>
        <v>0</v>
      </c>
      <c r="B356" s="4">
        <f>'GS DATA'!J356</f>
        <v>0</v>
      </c>
      <c r="C356" s="37" t="e">
        <f>VLOOKUP(B356,'GS 점포명'!A:B,2,0)</f>
        <v>#N/A</v>
      </c>
      <c r="D356" s="4">
        <f>'GS DATA'!J356</f>
        <v>0</v>
      </c>
      <c r="E356" s="37" t="e">
        <f>VLOOKUP(D356,'GS 점포명'!A:B,2,0)</f>
        <v>#N/A</v>
      </c>
      <c r="F356" s="38">
        <f>'GS DATA'!M356</f>
        <v>0</v>
      </c>
      <c r="G356" s="39" t="e">
        <f>VLOOKUP($F356,'GS 제품코드'!$A:$C,3,0)</f>
        <v>#N/A</v>
      </c>
      <c r="H356" s="40">
        <f>'GS DATA'!L356</f>
        <v>0</v>
      </c>
      <c r="I356" s="41">
        <f>'GS DATA'!Q356</f>
        <v>0</v>
      </c>
      <c r="J356" s="42">
        <f>'GS DATA'!S356</f>
        <v>0</v>
      </c>
      <c r="K356" s="43">
        <f t="shared" si="11"/>
        <v>0</v>
      </c>
    </row>
    <row r="357" spans="1:11" ht="15.6">
      <c r="A357" s="49">
        <f>'GS DATA'!X357</f>
        <v>0</v>
      </c>
      <c r="B357" s="4">
        <f>'GS DATA'!J357</f>
        <v>0</v>
      </c>
      <c r="C357" s="37" t="e">
        <f>VLOOKUP(B357,'GS 점포명'!A:B,2,0)</f>
        <v>#N/A</v>
      </c>
      <c r="D357" s="4">
        <f>'GS DATA'!J357</f>
        <v>0</v>
      </c>
      <c r="E357" s="37" t="e">
        <f>VLOOKUP(D357,'GS 점포명'!A:B,2,0)</f>
        <v>#N/A</v>
      </c>
      <c r="F357" s="38">
        <f>'GS DATA'!M357</f>
        <v>0</v>
      </c>
      <c r="G357" s="39" t="e">
        <f>VLOOKUP($F357,'GS 제품코드'!$A:$C,3,0)</f>
        <v>#N/A</v>
      </c>
      <c r="H357" s="40">
        <f>'GS DATA'!L357</f>
        <v>0</v>
      </c>
      <c r="I357" s="41">
        <f>'GS DATA'!Q357</f>
        <v>0</v>
      </c>
      <c r="J357" s="42">
        <f>'GS DATA'!S357</f>
        <v>0</v>
      </c>
      <c r="K357" s="43">
        <f t="shared" si="11"/>
        <v>0</v>
      </c>
    </row>
    <row r="358" spans="1:11" ht="15.6">
      <c r="A358" s="49">
        <f>'GS DATA'!X358</f>
        <v>0</v>
      </c>
      <c r="B358" s="4">
        <f>'GS DATA'!J358</f>
        <v>0</v>
      </c>
      <c r="C358" s="37" t="e">
        <f>VLOOKUP(B358,'GS 점포명'!A:B,2,0)</f>
        <v>#N/A</v>
      </c>
      <c r="D358" s="4">
        <f>'GS DATA'!J358</f>
        <v>0</v>
      </c>
      <c r="E358" s="37" t="e">
        <f>VLOOKUP(D358,'GS 점포명'!A:B,2,0)</f>
        <v>#N/A</v>
      </c>
      <c r="F358" s="38">
        <f>'GS DATA'!M358</f>
        <v>0</v>
      </c>
      <c r="G358" s="39" t="e">
        <f>VLOOKUP($F358,'GS 제품코드'!$A:$C,3,0)</f>
        <v>#N/A</v>
      </c>
      <c r="H358" s="40">
        <f>'GS DATA'!L358</f>
        <v>0</v>
      </c>
      <c r="I358" s="41">
        <f>'GS DATA'!Q358</f>
        <v>0</v>
      </c>
      <c r="J358" s="42">
        <f>'GS DATA'!S358</f>
        <v>0</v>
      </c>
      <c r="K358" s="43">
        <f t="shared" si="11"/>
        <v>0</v>
      </c>
    </row>
    <row r="359" spans="1:11" ht="15.6">
      <c r="A359" s="49">
        <f>'GS DATA'!X359</f>
        <v>0</v>
      </c>
      <c r="B359" s="4">
        <f>'GS DATA'!J359</f>
        <v>0</v>
      </c>
      <c r="C359" s="37" t="e">
        <f>VLOOKUP(B359,'GS 점포명'!A:B,2,0)</f>
        <v>#N/A</v>
      </c>
      <c r="D359" s="4">
        <f>'GS DATA'!J359</f>
        <v>0</v>
      </c>
      <c r="E359" s="37" t="e">
        <f>VLOOKUP(D359,'GS 점포명'!A:B,2,0)</f>
        <v>#N/A</v>
      </c>
      <c r="F359" s="38">
        <f>'GS DATA'!M359</f>
        <v>0</v>
      </c>
      <c r="G359" s="39" t="e">
        <f>VLOOKUP($F359,'GS 제품코드'!$A:$C,3,0)</f>
        <v>#N/A</v>
      </c>
      <c r="H359" s="40">
        <f>'GS DATA'!L359</f>
        <v>0</v>
      </c>
      <c r="I359" s="41">
        <f>'GS DATA'!Q359</f>
        <v>0</v>
      </c>
      <c r="J359" s="42">
        <f>'GS DATA'!S359</f>
        <v>0</v>
      </c>
      <c r="K359" s="43">
        <f t="shared" si="11"/>
        <v>0</v>
      </c>
    </row>
    <row r="360" spans="1:11" ht="15.6">
      <c r="A360" s="49">
        <f>'GS DATA'!X360</f>
        <v>0</v>
      </c>
      <c r="B360" s="4">
        <f>'GS DATA'!J360</f>
        <v>0</v>
      </c>
      <c r="C360" s="37" t="e">
        <f>VLOOKUP(B360,'GS 점포명'!A:B,2,0)</f>
        <v>#N/A</v>
      </c>
      <c r="D360" s="4">
        <f>'GS DATA'!J360</f>
        <v>0</v>
      </c>
      <c r="E360" s="37" t="e">
        <f>VLOOKUP(D360,'GS 점포명'!A:B,2,0)</f>
        <v>#N/A</v>
      </c>
      <c r="F360" s="38">
        <f>'GS DATA'!M360</f>
        <v>0</v>
      </c>
      <c r="G360" s="39" t="e">
        <f>VLOOKUP($F360,'GS 제품코드'!$A:$C,3,0)</f>
        <v>#N/A</v>
      </c>
      <c r="H360" s="40">
        <f>'GS DATA'!L360</f>
        <v>0</v>
      </c>
      <c r="I360" s="41">
        <f>'GS DATA'!Q360</f>
        <v>0</v>
      </c>
      <c r="J360" s="42">
        <f>'GS DATA'!S360</f>
        <v>0</v>
      </c>
      <c r="K360" s="43">
        <f t="shared" si="11"/>
        <v>0</v>
      </c>
    </row>
    <row r="361" spans="1:11" ht="15.6">
      <c r="A361" s="49">
        <f>'GS DATA'!X361</f>
        <v>0</v>
      </c>
      <c r="B361" s="4">
        <f>'GS DATA'!J361</f>
        <v>0</v>
      </c>
      <c r="C361" s="37" t="e">
        <f>VLOOKUP(B361,'GS 점포명'!A:B,2,0)</f>
        <v>#N/A</v>
      </c>
      <c r="D361" s="4">
        <f>'GS DATA'!J361</f>
        <v>0</v>
      </c>
      <c r="E361" s="37" t="e">
        <f>VLOOKUP(D361,'GS 점포명'!A:B,2,0)</f>
        <v>#N/A</v>
      </c>
      <c r="F361" s="38">
        <f>'GS DATA'!M361</f>
        <v>0</v>
      </c>
      <c r="G361" s="39" t="e">
        <f>VLOOKUP($F361,'GS 제품코드'!$A:$C,3,0)</f>
        <v>#N/A</v>
      </c>
      <c r="H361" s="40">
        <f>'GS DATA'!L361</f>
        <v>0</v>
      </c>
      <c r="I361" s="41">
        <f>'GS DATA'!Q361</f>
        <v>0</v>
      </c>
      <c r="J361" s="42">
        <f>'GS DATA'!S361</f>
        <v>0</v>
      </c>
      <c r="K361" s="43">
        <f t="shared" si="11"/>
        <v>0</v>
      </c>
    </row>
    <row r="362" spans="1:11" ht="15.6">
      <c r="A362" s="49">
        <f>'GS DATA'!X362</f>
        <v>0</v>
      </c>
      <c r="B362" s="4">
        <f>'GS DATA'!J362</f>
        <v>0</v>
      </c>
      <c r="C362" s="37" t="e">
        <f>VLOOKUP(B362,'GS 점포명'!A:B,2,0)</f>
        <v>#N/A</v>
      </c>
      <c r="D362" s="4">
        <f>'GS DATA'!J362</f>
        <v>0</v>
      </c>
      <c r="E362" s="37" t="e">
        <f>VLOOKUP(D362,'GS 점포명'!A:B,2,0)</f>
        <v>#N/A</v>
      </c>
      <c r="F362" s="38">
        <f>'GS DATA'!M362</f>
        <v>0</v>
      </c>
      <c r="G362" s="39" t="e">
        <f>VLOOKUP($F362,'GS 제품코드'!$A:$C,3,0)</f>
        <v>#N/A</v>
      </c>
      <c r="H362" s="40">
        <f>'GS DATA'!L362</f>
        <v>0</v>
      </c>
      <c r="I362" s="41">
        <f>'GS DATA'!Q362</f>
        <v>0</v>
      </c>
      <c r="J362" s="42">
        <f>'GS DATA'!S362</f>
        <v>0</v>
      </c>
      <c r="K362" s="43">
        <f t="shared" si="11"/>
        <v>0</v>
      </c>
    </row>
    <row r="363" spans="1:11" ht="15.6">
      <c r="A363" s="49">
        <f>'GS DATA'!X363</f>
        <v>0</v>
      </c>
      <c r="B363" s="4">
        <f>'GS DATA'!J363</f>
        <v>0</v>
      </c>
      <c r="C363" s="37" t="e">
        <f>VLOOKUP(B363,'GS 점포명'!A:B,2,0)</f>
        <v>#N/A</v>
      </c>
      <c r="D363" s="4">
        <f>'GS DATA'!J363</f>
        <v>0</v>
      </c>
      <c r="E363" s="37" t="e">
        <f>VLOOKUP(D363,'GS 점포명'!A:B,2,0)</f>
        <v>#N/A</v>
      </c>
      <c r="F363" s="38">
        <f>'GS DATA'!M363</f>
        <v>0</v>
      </c>
      <c r="G363" s="39" t="e">
        <f>VLOOKUP($F363,'GS 제품코드'!$A:$C,3,0)</f>
        <v>#N/A</v>
      </c>
      <c r="H363" s="40">
        <f>'GS DATA'!L363</f>
        <v>0</v>
      </c>
      <c r="I363" s="41">
        <f>'GS DATA'!Q363</f>
        <v>0</v>
      </c>
      <c r="J363" s="42">
        <f>'GS DATA'!S363</f>
        <v>0</v>
      </c>
      <c r="K363" s="43">
        <f t="shared" si="11"/>
        <v>0</v>
      </c>
    </row>
    <row r="364" spans="1:11" ht="15.6">
      <c r="A364" s="49">
        <f>'GS DATA'!X364</f>
        <v>0</v>
      </c>
      <c r="B364" s="4">
        <f>'GS DATA'!J364</f>
        <v>0</v>
      </c>
      <c r="C364" s="37" t="e">
        <f>VLOOKUP(B364,'GS 점포명'!A:B,2,0)</f>
        <v>#N/A</v>
      </c>
      <c r="D364" s="4">
        <f>'GS DATA'!J364</f>
        <v>0</v>
      </c>
      <c r="E364" s="37" t="e">
        <f>VLOOKUP(D364,'GS 점포명'!A:B,2,0)</f>
        <v>#N/A</v>
      </c>
      <c r="F364" s="38">
        <f>'GS DATA'!M364</f>
        <v>0</v>
      </c>
      <c r="G364" s="39" t="e">
        <f>VLOOKUP($F364,'GS 제품코드'!$A:$C,3,0)</f>
        <v>#N/A</v>
      </c>
      <c r="H364" s="40">
        <f>'GS DATA'!L364</f>
        <v>0</v>
      </c>
      <c r="I364" s="41">
        <f>'GS DATA'!Q364</f>
        <v>0</v>
      </c>
      <c r="J364" s="42">
        <f>'GS DATA'!S364</f>
        <v>0</v>
      </c>
      <c r="K364" s="43">
        <f t="shared" si="11"/>
        <v>0</v>
      </c>
    </row>
    <row r="365" spans="1:11" ht="15.6">
      <c r="A365" s="49">
        <f>'GS DATA'!X365</f>
        <v>0</v>
      </c>
      <c r="B365" s="4">
        <f>'GS DATA'!J365</f>
        <v>0</v>
      </c>
      <c r="C365" s="37" t="e">
        <f>VLOOKUP(B365,'GS 점포명'!A:B,2,0)</f>
        <v>#N/A</v>
      </c>
      <c r="D365" s="4">
        <f>'GS DATA'!J365</f>
        <v>0</v>
      </c>
      <c r="E365" s="37" t="e">
        <f>VLOOKUP(D365,'GS 점포명'!A:B,2,0)</f>
        <v>#N/A</v>
      </c>
      <c r="F365" s="38">
        <f>'GS DATA'!M365</f>
        <v>0</v>
      </c>
      <c r="G365" s="39" t="e">
        <f>VLOOKUP($F365,'GS 제품코드'!$A:$C,3,0)</f>
        <v>#N/A</v>
      </c>
      <c r="H365" s="40">
        <f>'GS DATA'!L365</f>
        <v>0</v>
      </c>
      <c r="I365" s="41">
        <f>'GS DATA'!Q365</f>
        <v>0</v>
      </c>
      <c r="J365" s="42">
        <f>'GS DATA'!S365</f>
        <v>0</v>
      </c>
      <c r="K365" s="43">
        <f t="shared" si="11"/>
        <v>0</v>
      </c>
    </row>
    <row r="366" spans="1:11" ht="15.6">
      <c r="A366" s="49">
        <f>'GS DATA'!X366</f>
        <v>0</v>
      </c>
      <c r="B366" s="4">
        <f>'GS DATA'!J366</f>
        <v>0</v>
      </c>
      <c r="C366" s="37" t="e">
        <f>VLOOKUP(B366,'GS 점포명'!A:B,2,0)</f>
        <v>#N/A</v>
      </c>
      <c r="D366" s="4">
        <f>'GS DATA'!J366</f>
        <v>0</v>
      </c>
      <c r="E366" s="37" t="e">
        <f>VLOOKUP(D366,'GS 점포명'!A:B,2,0)</f>
        <v>#N/A</v>
      </c>
      <c r="F366" s="38">
        <f>'GS DATA'!M366</f>
        <v>0</v>
      </c>
      <c r="G366" s="39" t="e">
        <f>VLOOKUP($F366,'GS 제품코드'!$A:$C,3,0)</f>
        <v>#N/A</v>
      </c>
      <c r="H366" s="40">
        <f>'GS DATA'!L366</f>
        <v>0</v>
      </c>
      <c r="I366" s="41">
        <f>'GS DATA'!Q366</f>
        <v>0</v>
      </c>
      <c r="J366" s="42">
        <f>'GS DATA'!S366</f>
        <v>0</v>
      </c>
      <c r="K366" s="43">
        <f t="shared" si="11"/>
        <v>0</v>
      </c>
    </row>
    <row r="367" spans="1:11" ht="15.6">
      <c r="A367" s="49">
        <f>'GS DATA'!X367</f>
        <v>0</v>
      </c>
      <c r="B367" s="4">
        <f>'GS DATA'!J367</f>
        <v>0</v>
      </c>
      <c r="C367" s="37" t="e">
        <f>VLOOKUP(B367,'GS 점포명'!A:B,2,0)</f>
        <v>#N/A</v>
      </c>
      <c r="D367" s="4">
        <f>'GS DATA'!J367</f>
        <v>0</v>
      </c>
      <c r="E367" s="37" t="e">
        <f>VLOOKUP(D367,'GS 점포명'!A:B,2,0)</f>
        <v>#N/A</v>
      </c>
      <c r="F367" s="38">
        <f>'GS DATA'!M367</f>
        <v>0</v>
      </c>
      <c r="G367" s="39" t="e">
        <f>VLOOKUP($F367,'GS 제품코드'!$A:$C,3,0)</f>
        <v>#N/A</v>
      </c>
      <c r="H367" s="40">
        <f>'GS DATA'!L367</f>
        <v>0</v>
      </c>
      <c r="I367" s="41">
        <f>'GS DATA'!Q367</f>
        <v>0</v>
      </c>
      <c r="J367" s="42">
        <f>'GS DATA'!S367</f>
        <v>0</v>
      </c>
      <c r="K367" s="43">
        <f t="shared" si="11"/>
        <v>0</v>
      </c>
    </row>
    <row r="368" spans="1:11" ht="15.6">
      <c r="A368" s="49">
        <f>'GS DATA'!X368</f>
        <v>0</v>
      </c>
      <c r="B368" s="4">
        <f>'GS DATA'!J368</f>
        <v>0</v>
      </c>
      <c r="C368" s="37" t="e">
        <f>VLOOKUP(B368,'GS 점포명'!A:B,2,0)</f>
        <v>#N/A</v>
      </c>
      <c r="D368" s="4">
        <f>'GS DATA'!J368</f>
        <v>0</v>
      </c>
      <c r="E368" s="37" t="e">
        <f>VLOOKUP(D368,'GS 점포명'!A:B,2,0)</f>
        <v>#N/A</v>
      </c>
      <c r="F368" s="38">
        <f>'GS DATA'!M368</f>
        <v>0</v>
      </c>
      <c r="G368" s="39" t="e">
        <f>VLOOKUP($F368,'GS 제품코드'!$A:$C,3,0)</f>
        <v>#N/A</v>
      </c>
      <c r="H368" s="40">
        <f>'GS DATA'!L368</f>
        <v>0</v>
      </c>
      <c r="I368" s="41">
        <f>'GS DATA'!Q368</f>
        <v>0</v>
      </c>
      <c r="J368" s="42">
        <f>'GS DATA'!S368</f>
        <v>0</v>
      </c>
      <c r="K368" s="43">
        <f t="shared" si="11"/>
        <v>0</v>
      </c>
    </row>
    <row r="369" spans="1:11" ht="15.6">
      <c r="A369" s="49">
        <f>'GS DATA'!X369</f>
        <v>0</v>
      </c>
      <c r="B369" s="4">
        <f>'GS DATA'!J369</f>
        <v>0</v>
      </c>
      <c r="C369" s="37" t="e">
        <f>VLOOKUP(B369,'GS 점포명'!A:B,2,0)</f>
        <v>#N/A</v>
      </c>
      <c r="D369" s="4">
        <f>'GS DATA'!J369</f>
        <v>0</v>
      </c>
      <c r="E369" s="37" t="e">
        <f>VLOOKUP(D369,'GS 점포명'!A:B,2,0)</f>
        <v>#N/A</v>
      </c>
      <c r="F369" s="38">
        <f>'GS DATA'!M369</f>
        <v>0</v>
      </c>
      <c r="G369" s="39" t="e">
        <f>VLOOKUP($F369,'GS 제품코드'!$A:$C,3,0)</f>
        <v>#N/A</v>
      </c>
      <c r="H369" s="40">
        <f>'GS DATA'!L369</f>
        <v>0</v>
      </c>
      <c r="I369" s="41">
        <f>'GS DATA'!Q369</f>
        <v>0</v>
      </c>
      <c r="J369" s="42">
        <f>'GS DATA'!S369</f>
        <v>0</v>
      </c>
      <c r="K369" s="43">
        <f t="shared" si="11"/>
        <v>0</v>
      </c>
    </row>
    <row r="370" spans="1:11" ht="15.6">
      <c r="A370" s="49">
        <f>'GS DATA'!X370</f>
        <v>0</v>
      </c>
      <c r="B370" s="4">
        <f>'GS DATA'!J370</f>
        <v>0</v>
      </c>
      <c r="C370" s="37" t="e">
        <f>VLOOKUP(B370,'GS 점포명'!A:B,2,0)</f>
        <v>#N/A</v>
      </c>
      <c r="D370" s="4">
        <f>'GS DATA'!J370</f>
        <v>0</v>
      </c>
      <c r="E370" s="37" t="e">
        <f>VLOOKUP(D370,'GS 점포명'!A:B,2,0)</f>
        <v>#N/A</v>
      </c>
      <c r="F370" s="38">
        <f>'GS DATA'!M370</f>
        <v>0</v>
      </c>
      <c r="G370" s="39" t="e">
        <f>VLOOKUP($F370,'GS 제품코드'!$A:$C,3,0)</f>
        <v>#N/A</v>
      </c>
      <c r="H370" s="40">
        <f>'GS DATA'!L370</f>
        <v>0</v>
      </c>
      <c r="I370" s="41">
        <f>'GS DATA'!Q370</f>
        <v>0</v>
      </c>
      <c r="J370" s="42">
        <f>'GS DATA'!S370</f>
        <v>0</v>
      </c>
      <c r="K370" s="43">
        <f t="shared" si="11"/>
        <v>0</v>
      </c>
    </row>
    <row r="371" spans="1:11" ht="15.6">
      <c r="A371" s="49">
        <f>'GS DATA'!X371</f>
        <v>0</v>
      </c>
      <c r="B371" s="4">
        <f>'GS DATA'!J371</f>
        <v>0</v>
      </c>
      <c r="C371" s="37" t="e">
        <f>VLOOKUP(B371,'GS 점포명'!A:B,2,0)</f>
        <v>#N/A</v>
      </c>
      <c r="D371" s="4">
        <f>'GS DATA'!J371</f>
        <v>0</v>
      </c>
      <c r="E371" s="37" t="e">
        <f>VLOOKUP(D371,'GS 점포명'!A:B,2,0)</f>
        <v>#N/A</v>
      </c>
      <c r="F371" s="38">
        <f>'GS DATA'!M371</f>
        <v>0</v>
      </c>
      <c r="G371" s="39" t="e">
        <f>VLOOKUP($F371,'GS 제품코드'!$A:$C,3,0)</f>
        <v>#N/A</v>
      </c>
      <c r="H371" s="40">
        <f>'GS DATA'!L371</f>
        <v>0</v>
      </c>
      <c r="I371" s="41">
        <f>'GS DATA'!Q371</f>
        <v>0</v>
      </c>
      <c r="J371" s="42">
        <f>'GS DATA'!S371</f>
        <v>0</v>
      </c>
      <c r="K371" s="43">
        <f t="shared" si="11"/>
        <v>0</v>
      </c>
    </row>
    <row r="372" spans="1:11" ht="15.6">
      <c r="A372" s="49">
        <f>'GS DATA'!X372</f>
        <v>0</v>
      </c>
      <c r="B372" s="4">
        <f>'GS DATA'!J372</f>
        <v>0</v>
      </c>
      <c r="C372" s="37" t="e">
        <f>VLOOKUP(B372,'GS 점포명'!A:B,2,0)</f>
        <v>#N/A</v>
      </c>
      <c r="D372" s="4">
        <f>'GS DATA'!J372</f>
        <v>0</v>
      </c>
      <c r="E372" s="37" t="e">
        <f>VLOOKUP(D372,'GS 점포명'!A:B,2,0)</f>
        <v>#N/A</v>
      </c>
      <c r="F372" s="38">
        <f>'GS DATA'!M372</f>
        <v>0</v>
      </c>
      <c r="G372" s="39" t="e">
        <f>VLOOKUP($F372,'GS 제품코드'!$A:$C,3,0)</f>
        <v>#N/A</v>
      </c>
      <c r="H372" s="40">
        <f>'GS DATA'!L372</f>
        <v>0</v>
      </c>
      <c r="I372" s="41">
        <f>'GS DATA'!Q372</f>
        <v>0</v>
      </c>
      <c r="J372" s="42">
        <f>'GS DATA'!S372</f>
        <v>0</v>
      </c>
      <c r="K372" s="43">
        <f t="shared" si="11"/>
        <v>0</v>
      </c>
    </row>
    <row r="373" spans="1:11" ht="15.6">
      <c r="A373" s="49">
        <f>'GS DATA'!X373</f>
        <v>0</v>
      </c>
      <c r="B373" s="4">
        <f>'GS DATA'!J373</f>
        <v>0</v>
      </c>
      <c r="C373" s="37" t="e">
        <f>VLOOKUP(B373,'GS 점포명'!A:B,2,0)</f>
        <v>#N/A</v>
      </c>
      <c r="D373" s="4">
        <f>'GS DATA'!J373</f>
        <v>0</v>
      </c>
      <c r="E373" s="37" t="e">
        <f>VLOOKUP(D373,'GS 점포명'!A:B,2,0)</f>
        <v>#N/A</v>
      </c>
      <c r="F373" s="38">
        <f>'GS DATA'!M373</f>
        <v>0</v>
      </c>
      <c r="G373" s="39" t="e">
        <f>VLOOKUP($F373,'GS 제품코드'!$A:$C,3,0)</f>
        <v>#N/A</v>
      </c>
      <c r="H373" s="40">
        <f>'GS DATA'!L373</f>
        <v>0</v>
      </c>
      <c r="I373" s="41">
        <f>'GS DATA'!Q373</f>
        <v>0</v>
      </c>
      <c r="J373" s="42">
        <f>'GS DATA'!S373</f>
        <v>0</v>
      </c>
      <c r="K373" s="43">
        <f t="shared" si="11"/>
        <v>0</v>
      </c>
    </row>
    <row r="374" spans="1:11" ht="15.6">
      <c r="A374" s="49">
        <f>'GS DATA'!X374</f>
        <v>0</v>
      </c>
      <c r="B374" s="4">
        <f>'GS DATA'!J374</f>
        <v>0</v>
      </c>
      <c r="C374" s="37" t="e">
        <f>VLOOKUP(B374,'GS 점포명'!A:B,2,0)</f>
        <v>#N/A</v>
      </c>
      <c r="D374" s="4">
        <f>'GS DATA'!J374</f>
        <v>0</v>
      </c>
      <c r="E374" s="37" t="e">
        <f>VLOOKUP(D374,'GS 점포명'!A:B,2,0)</f>
        <v>#N/A</v>
      </c>
      <c r="F374" s="38">
        <f>'GS DATA'!M374</f>
        <v>0</v>
      </c>
      <c r="G374" s="39" t="e">
        <f>VLOOKUP($F374,'GS 제품코드'!$A:$C,3,0)</f>
        <v>#N/A</v>
      </c>
      <c r="H374" s="40">
        <f>'GS DATA'!L374</f>
        <v>0</v>
      </c>
      <c r="I374" s="41">
        <f>'GS DATA'!Q374</f>
        <v>0</v>
      </c>
      <c r="J374" s="42">
        <f>'GS DATA'!S374</f>
        <v>0</v>
      </c>
      <c r="K374" s="43">
        <f t="shared" si="11"/>
        <v>0</v>
      </c>
    </row>
    <row r="375" spans="1:11" ht="15.6">
      <c r="A375" s="49">
        <f>'GS DATA'!X375</f>
        <v>0</v>
      </c>
      <c r="B375" s="4">
        <f>'GS DATA'!J375</f>
        <v>0</v>
      </c>
      <c r="C375" s="37" t="e">
        <f>VLOOKUP(B375,'GS 점포명'!A:B,2,0)</f>
        <v>#N/A</v>
      </c>
      <c r="D375" s="4">
        <f>'GS DATA'!J375</f>
        <v>0</v>
      </c>
      <c r="E375" s="37" t="e">
        <f>VLOOKUP(D375,'GS 점포명'!A:B,2,0)</f>
        <v>#N/A</v>
      </c>
      <c r="F375" s="38">
        <f>'GS DATA'!M375</f>
        <v>0</v>
      </c>
      <c r="G375" s="39" t="e">
        <f>VLOOKUP($F375,'GS 제품코드'!$A:$C,3,0)</f>
        <v>#N/A</v>
      </c>
      <c r="H375" s="40">
        <f>'GS DATA'!L375</f>
        <v>0</v>
      </c>
      <c r="I375" s="41">
        <f>'GS DATA'!Q375</f>
        <v>0</v>
      </c>
      <c r="J375" s="42">
        <f>'GS DATA'!S375</f>
        <v>0</v>
      </c>
      <c r="K375" s="43">
        <f t="shared" si="11"/>
        <v>0</v>
      </c>
    </row>
    <row r="376" spans="1:11" ht="15.6">
      <c r="A376" s="49">
        <f>'GS DATA'!X376</f>
        <v>0</v>
      </c>
      <c r="B376" s="4">
        <f>'GS DATA'!J376</f>
        <v>0</v>
      </c>
      <c r="C376" s="37" t="e">
        <f>VLOOKUP(B376,'GS 점포명'!A:B,2,0)</f>
        <v>#N/A</v>
      </c>
      <c r="D376" s="4">
        <f>'GS DATA'!J376</f>
        <v>0</v>
      </c>
      <c r="E376" s="37" t="e">
        <f>VLOOKUP(D376,'GS 점포명'!A:B,2,0)</f>
        <v>#N/A</v>
      </c>
      <c r="F376" s="38">
        <f>'GS DATA'!M376</f>
        <v>0</v>
      </c>
      <c r="G376" s="39" t="e">
        <f>VLOOKUP($F376,'GS 제품코드'!$A:$C,3,0)</f>
        <v>#N/A</v>
      </c>
      <c r="H376" s="40">
        <f>'GS DATA'!L376</f>
        <v>0</v>
      </c>
      <c r="I376" s="41">
        <f>'GS DATA'!Q376</f>
        <v>0</v>
      </c>
      <c r="J376" s="42">
        <f>'GS DATA'!S376</f>
        <v>0</v>
      </c>
      <c r="K376" s="43">
        <f t="shared" si="11"/>
        <v>0</v>
      </c>
    </row>
    <row r="377" spans="1:11" ht="15.6">
      <c r="A377" s="49">
        <f>'GS DATA'!X377</f>
        <v>0</v>
      </c>
      <c r="B377" s="4">
        <f>'GS DATA'!J377</f>
        <v>0</v>
      </c>
      <c r="C377" s="37" t="e">
        <f>VLOOKUP(B377,'GS 점포명'!A:B,2,0)</f>
        <v>#N/A</v>
      </c>
      <c r="D377" s="4">
        <f>'GS DATA'!J377</f>
        <v>0</v>
      </c>
      <c r="E377" s="37" t="e">
        <f>VLOOKUP(D377,'GS 점포명'!A:B,2,0)</f>
        <v>#N/A</v>
      </c>
      <c r="F377" s="38">
        <f>'GS DATA'!M377</f>
        <v>0</v>
      </c>
      <c r="G377" s="39" t="e">
        <f>VLOOKUP($F377,'GS 제품코드'!$A:$C,3,0)</f>
        <v>#N/A</v>
      </c>
      <c r="H377" s="40">
        <f>'GS DATA'!L377</f>
        <v>0</v>
      </c>
      <c r="I377" s="41">
        <f>'GS DATA'!Q377</f>
        <v>0</v>
      </c>
      <c r="J377" s="42">
        <f>'GS DATA'!S377</f>
        <v>0</v>
      </c>
      <c r="K377" s="43">
        <f t="shared" si="11"/>
        <v>0</v>
      </c>
    </row>
    <row r="378" spans="1:11" ht="15.6">
      <c r="A378" s="49">
        <f>'GS DATA'!X378</f>
        <v>0</v>
      </c>
      <c r="B378" s="4">
        <f>'GS DATA'!J378</f>
        <v>0</v>
      </c>
      <c r="C378" s="37" t="e">
        <f>VLOOKUP(B378,'GS 점포명'!A:B,2,0)</f>
        <v>#N/A</v>
      </c>
      <c r="D378" s="4">
        <f>'GS DATA'!J378</f>
        <v>0</v>
      </c>
      <c r="E378" s="37" t="e">
        <f>VLOOKUP(D378,'GS 점포명'!A:B,2,0)</f>
        <v>#N/A</v>
      </c>
      <c r="F378" s="38">
        <f>'GS DATA'!M378</f>
        <v>0</v>
      </c>
      <c r="G378" s="39" t="e">
        <f>VLOOKUP($F378,'GS 제품코드'!$A:$C,3,0)</f>
        <v>#N/A</v>
      </c>
      <c r="H378" s="40">
        <f>'GS DATA'!L378</f>
        <v>0</v>
      </c>
      <c r="I378" s="41">
        <f>'GS DATA'!Q378</f>
        <v>0</v>
      </c>
      <c r="J378" s="42">
        <f>'GS DATA'!S378</f>
        <v>0</v>
      </c>
      <c r="K378" s="43">
        <f t="shared" si="11"/>
        <v>0</v>
      </c>
    </row>
    <row r="379" spans="1:11" ht="15.6">
      <c r="A379" s="49">
        <f>'GS DATA'!X379</f>
        <v>0</v>
      </c>
      <c r="B379" s="4">
        <f>'GS DATA'!J379</f>
        <v>0</v>
      </c>
      <c r="C379" s="37" t="e">
        <f>VLOOKUP(B379,'GS 점포명'!A:B,2,0)</f>
        <v>#N/A</v>
      </c>
      <c r="D379" s="4">
        <f>'GS DATA'!J379</f>
        <v>0</v>
      </c>
      <c r="E379" s="37" t="e">
        <f>VLOOKUP(D379,'GS 점포명'!A:B,2,0)</f>
        <v>#N/A</v>
      </c>
      <c r="F379" s="38">
        <f>'GS DATA'!M379</f>
        <v>0</v>
      </c>
      <c r="G379" s="39" t="e">
        <f>VLOOKUP($F379,'GS 제품코드'!$A:$C,3,0)</f>
        <v>#N/A</v>
      </c>
      <c r="H379" s="40">
        <f>'GS DATA'!L379</f>
        <v>0</v>
      </c>
      <c r="I379" s="41">
        <f>'GS DATA'!Q379</f>
        <v>0</v>
      </c>
      <c r="J379" s="42">
        <f>'GS DATA'!S379</f>
        <v>0</v>
      </c>
      <c r="K379" s="43">
        <f t="shared" si="11"/>
        <v>0</v>
      </c>
    </row>
    <row r="380" spans="1:11" ht="15.6">
      <c r="A380" s="49">
        <f>'GS DATA'!X380</f>
        <v>0</v>
      </c>
      <c r="B380" s="4">
        <f>'GS DATA'!J380</f>
        <v>0</v>
      </c>
      <c r="C380" s="37" t="e">
        <f>VLOOKUP(B380,'GS 점포명'!A:B,2,0)</f>
        <v>#N/A</v>
      </c>
      <c r="D380" s="4">
        <f>'GS DATA'!J380</f>
        <v>0</v>
      </c>
      <c r="E380" s="37" t="e">
        <f>VLOOKUP(D380,'GS 점포명'!A:B,2,0)</f>
        <v>#N/A</v>
      </c>
      <c r="F380" s="38">
        <f>'GS DATA'!M380</f>
        <v>0</v>
      </c>
      <c r="G380" s="39" t="e">
        <f>VLOOKUP($F380,'GS 제품코드'!$A:$C,3,0)</f>
        <v>#N/A</v>
      </c>
      <c r="H380" s="40">
        <f>'GS DATA'!L380</f>
        <v>0</v>
      </c>
      <c r="I380" s="41">
        <f>'GS DATA'!Q380</f>
        <v>0</v>
      </c>
      <c r="J380" s="42">
        <f>'GS DATA'!S380</f>
        <v>0</v>
      </c>
      <c r="K380" s="43">
        <f t="shared" si="11"/>
        <v>0</v>
      </c>
    </row>
    <row r="381" spans="1:11" ht="15.6">
      <c r="A381" s="49">
        <f>'GS DATA'!X381</f>
        <v>0</v>
      </c>
      <c r="B381" s="4">
        <f>'GS DATA'!J381</f>
        <v>0</v>
      </c>
      <c r="C381" s="37" t="e">
        <f>VLOOKUP(B381,'GS 점포명'!A:B,2,0)</f>
        <v>#N/A</v>
      </c>
      <c r="D381" s="4">
        <f>'GS DATA'!J381</f>
        <v>0</v>
      </c>
      <c r="E381" s="37" t="e">
        <f>VLOOKUP(D381,'GS 점포명'!A:B,2,0)</f>
        <v>#N/A</v>
      </c>
      <c r="F381" s="38">
        <f>'GS DATA'!M381</f>
        <v>0</v>
      </c>
      <c r="G381" s="39" t="e">
        <f>VLOOKUP($F381,'GS 제품코드'!$A:$C,3,0)</f>
        <v>#N/A</v>
      </c>
      <c r="H381" s="40">
        <f>'GS DATA'!L381</f>
        <v>0</v>
      </c>
      <c r="I381" s="41">
        <f>'GS DATA'!Q381</f>
        <v>0</v>
      </c>
      <c r="J381" s="42">
        <f>'GS DATA'!S381</f>
        <v>0</v>
      </c>
      <c r="K381" s="43">
        <f t="shared" si="11"/>
        <v>0</v>
      </c>
    </row>
    <row r="382" spans="1:11" ht="15.6">
      <c r="A382" s="49">
        <f>'GS DATA'!X382</f>
        <v>0</v>
      </c>
      <c r="B382" s="4">
        <f>'GS DATA'!J382</f>
        <v>0</v>
      </c>
      <c r="C382" s="37" t="e">
        <f>VLOOKUP(B382,'GS 점포명'!A:B,2,0)</f>
        <v>#N/A</v>
      </c>
      <c r="D382" s="4">
        <f>'GS DATA'!J382</f>
        <v>0</v>
      </c>
      <c r="E382" s="37" t="e">
        <f>VLOOKUP(D382,'GS 점포명'!A:B,2,0)</f>
        <v>#N/A</v>
      </c>
      <c r="F382" s="38">
        <f>'GS DATA'!M382</f>
        <v>0</v>
      </c>
      <c r="G382" s="39" t="e">
        <f>VLOOKUP($F382,'GS 제품코드'!$A:$C,3,0)</f>
        <v>#N/A</v>
      </c>
      <c r="H382" s="40">
        <f>'GS DATA'!L382</f>
        <v>0</v>
      </c>
      <c r="I382" s="41">
        <f>'GS DATA'!Q382</f>
        <v>0</v>
      </c>
      <c r="J382" s="42">
        <f>'GS DATA'!S382</f>
        <v>0</v>
      </c>
      <c r="K382" s="43">
        <f t="shared" si="11"/>
        <v>0</v>
      </c>
    </row>
    <row r="383" spans="1:11" ht="15.6">
      <c r="A383" s="49">
        <f>'GS DATA'!X383</f>
        <v>0</v>
      </c>
      <c r="B383" s="4">
        <f>'GS DATA'!J383</f>
        <v>0</v>
      </c>
      <c r="C383" s="37" t="e">
        <f>VLOOKUP(B383,'GS 점포명'!A:B,2,0)</f>
        <v>#N/A</v>
      </c>
      <c r="D383" s="4">
        <f>'GS DATA'!J383</f>
        <v>0</v>
      </c>
      <c r="E383" s="37" t="e">
        <f>VLOOKUP(D383,'GS 점포명'!A:B,2,0)</f>
        <v>#N/A</v>
      </c>
      <c r="F383" s="38">
        <f>'GS DATA'!M383</f>
        <v>0</v>
      </c>
      <c r="G383" s="39" t="e">
        <f>VLOOKUP($F383,'GS 제품코드'!$A:$C,3,0)</f>
        <v>#N/A</v>
      </c>
      <c r="H383" s="40">
        <f>'GS DATA'!L383</f>
        <v>0</v>
      </c>
      <c r="I383" s="41">
        <f>'GS DATA'!Q383</f>
        <v>0</v>
      </c>
      <c r="J383" s="42">
        <f>'GS DATA'!S383</f>
        <v>0</v>
      </c>
      <c r="K383" s="43">
        <f t="shared" si="11"/>
        <v>0</v>
      </c>
    </row>
    <row r="384" spans="1:11" ht="15.6">
      <c r="A384" s="49">
        <f>'GS DATA'!X384</f>
        <v>0</v>
      </c>
      <c r="B384" s="4">
        <f>'GS DATA'!J384</f>
        <v>0</v>
      </c>
      <c r="C384" s="37" t="e">
        <f>VLOOKUP(B384,'GS 점포명'!A:B,2,0)</f>
        <v>#N/A</v>
      </c>
      <c r="D384" s="4">
        <f>'GS DATA'!J384</f>
        <v>0</v>
      </c>
      <c r="E384" s="37" t="e">
        <f>VLOOKUP(D384,'GS 점포명'!A:B,2,0)</f>
        <v>#N/A</v>
      </c>
      <c r="F384" s="38">
        <f>'GS DATA'!M384</f>
        <v>0</v>
      </c>
      <c r="G384" s="39" t="e">
        <f>VLOOKUP($F384,'GS 제품코드'!$A:$C,3,0)</f>
        <v>#N/A</v>
      </c>
      <c r="H384" s="40">
        <f>'GS DATA'!L384</f>
        <v>0</v>
      </c>
      <c r="I384" s="41">
        <f>'GS DATA'!Q384</f>
        <v>0</v>
      </c>
      <c r="J384" s="42">
        <f>'GS DATA'!S384</f>
        <v>0</v>
      </c>
      <c r="K384" s="43">
        <f t="shared" si="11"/>
        <v>0</v>
      </c>
    </row>
    <row r="385" spans="1:11" ht="15.6">
      <c r="A385" s="49">
        <f>'GS DATA'!X385</f>
        <v>0</v>
      </c>
      <c r="B385" s="4">
        <f>'GS DATA'!J385</f>
        <v>0</v>
      </c>
      <c r="C385" s="37" t="e">
        <f>VLOOKUP(B385,'GS 점포명'!A:B,2,0)</f>
        <v>#N/A</v>
      </c>
      <c r="D385" s="4">
        <f>'GS DATA'!J385</f>
        <v>0</v>
      </c>
      <c r="E385" s="37" t="e">
        <f>VLOOKUP(D385,'GS 점포명'!A:B,2,0)</f>
        <v>#N/A</v>
      </c>
      <c r="F385" s="38">
        <f>'GS DATA'!M385</f>
        <v>0</v>
      </c>
      <c r="G385" s="39" t="e">
        <f>VLOOKUP($F385,'GS 제품코드'!$A:$C,3,0)</f>
        <v>#N/A</v>
      </c>
      <c r="H385" s="40">
        <f>'GS DATA'!L385</f>
        <v>0</v>
      </c>
      <c r="I385" s="41">
        <f>'GS DATA'!Q385</f>
        <v>0</v>
      </c>
      <c r="J385" s="42">
        <f>'GS DATA'!S385</f>
        <v>0</v>
      </c>
      <c r="K385" s="43">
        <f t="shared" si="11"/>
        <v>0</v>
      </c>
    </row>
    <row r="386" spans="1:11" ht="15.6">
      <c r="A386" s="49">
        <f>'GS DATA'!X386</f>
        <v>0</v>
      </c>
      <c r="B386" s="4">
        <f>'GS DATA'!J386</f>
        <v>0</v>
      </c>
      <c r="C386" s="37" t="e">
        <f>VLOOKUP(B386,'GS 점포명'!A:B,2,0)</f>
        <v>#N/A</v>
      </c>
      <c r="D386" s="4">
        <f>'GS DATA'!J386</f>
        <v>0</v>
      </c>
      <c r="E386" s="37" t="e">
        <f>VLOOKUP(D386,'GS 점포명'!A:B,2,0)</f>
        <v>#N/A</v>
      </c>
      <c r="F386" s="38">
        <f>'GS DATA'!M386</f>
        <v>0</v>
      </c>
      <c r="G386" s="39" t="e">
        <f>VLOOKUP($F386,'GS 제품코드'!$A:$C,3,0)</f>
        <v>#N/A</v>
      </c>
      <c r="H386" s="40">
        <f>'GS DATA'!L386</f>
        <v>0</v>
      </c>
      <c r="I386" s="41">
        <f>'GS DATA'!Q386</f>
        <v>0</v>
      </c>
      <c r="J386" s="42">
        <f>'GS DATA'!S386</f>
        <v>0</v>
      </c>
      <c r="K386" s="43">
        <f t="shared" si="11"/>
        <v>0</v>
      </c>
    </row>
    <row r="387" spans="1:11" ht="15.6">
      <c r="A387" s="49">
        <f>'GS DATA'!X387</f>
        <v>0</v>
      </c>
      <c r="B387" s="4">
        <f>'GS DATA'!J387</f>
        <v>0</v>
      </c>
      <c r="C387" s="37" t="e">
        <f>VLOOKUP(B387,'GS 점포명'!A:B,2,0)</f>
        <v>#N/A</v>
      </c>
      <c r="D387" s="4">
        <f>'GS DATA'!J387</f>
        <v>0</v>
      </c>
      <c r="E387" s="37" t="e">
        <f>VLOOKUP(D387,'GS 점포명'!A:B,2,0)</f>
        <v>#N/A</v>
      </c>
      <c r="F387" s="38">
        <f>'GS DATA'!M387</f>
        <v>0</v>
      </c>
      <c r="G387" s="39" t="e">
        <f>VLOOKUP($F387,'GS 제품코드'!$A:$C,3,0)</f>
        <v>#N/A</v>
      </c>
      <c r="H387" s="40">
        <f>'GS DATA'!L387</f>
        <v>0</v>
      </c>
      <c r="I387" s="41">
        <f>'GS DATA'!Q387</f>
        <v>0</v>
      </c>
      <c r="J387" s="42">
        <f>'GS DATA'!S387</f>
        <v>0</v>
      </c>
      <c r="K387" s="43">
        <f t="shared" si="11"/>
        <v>0</v>
      </c>
    </row>
    <row r="388" spans="1:11" ht="15.6">
      <c r="A388" s="49">
        <f>'GS DATA'!X388</f>
        <v>0</v>
      </c>
      <c r="B388" s="4">
        <f>'GS DATA'!J388</f>
        <v>0</v>
      </c>
      <c r="C388" s="37" t="e">
        <f>VLOOKUP(B388,'GS 점포명'!A:B,2,0)</f>
        <v>#N/A</v>
      </c>
      <c r="D388" s="4">
        <f>'GS DATA'!J388</f>
        <v>0</v>
      </c>
      <c r="E388" s="37" t="e">
        <f>VLOOKUP(D388,'GS 점포명'!A:B,2,0)</f>
        <v>#N/A</v>
      </c>
      <c r="F388" s="38">
        <f>'GS DATA'!M388</f>
        <v>0</v>
      </c>
      <c r="G388" s="39" t="e">
        <f>VLOOKUP($F388,'GS 제품코드'!$A:$C,3,0)</f>
        <v>#N/A</v>
      </c>
      <c r="H388" s="40">
        <f>'GS DATA'!L388</f>
        <v>0</v>
      </c>
      <c r="I388" s="41">
        <f>'GS DATA'!Q388</f>
        <v>0</v>
      </c>
      <c r="J388" s="42">
        <f>'GS DATA'!S388</f>
        <v>0</v>
      </c>
      <c r="K388" s="43">
        <f t="shared" si="11"/>
        <v>0</v>
      </c>
    </row>
    <row r="389" spans="1:11" ht="15.6">
      <c r="A389" s="49">
        <f>'GS DATA'!X389</f>
        <v>0</v>
      </c>
      <c r="B389" s="4">
        <f>'GS DATA'!J389</f>
        <v>0</v>
      </c>
      <c r="C389" s="37" t="e">
        <f>VLOOKUP(B389,'GS 점포명'!A:B,2,0)</f>
        <v>#N/A</v>
      </c>
      <c r="D389" s="4">
        <f>'GS DATA'!J389</f>
        <v>0</v>
      </c>
      <c r="E389" s="37" t="e">
        <f>VLOOKUP(D389,'GS 점포명'!A:B,2,0)</f>
        <v>#N/A</v>
      </c>
      <c r="F389" s="38">
        <f>'GS DATA'!M389</f>
        <v>0</v>
      </c>
      <c r="G389" s="39" t="e">
        <f>VLOOKUP($F389,'GS 제품코드'!$A:$C,3,0)</f>
        <v>#N/A</v>
      </c>
      <c r="H389" s="40">
        <f>'GS DATA'!L389</f>
        <v>0</v>
      </c>
      <c r="I389" s="41">
        <f>'GS DATA'!Q389</f>
        <v>0</v>
      </c>
      <c r="J389" s="42">
        <f>'GS DATA'!S389</f>
        <v>0</v>
      </c>
      <c r="K389" s="43">
        <f t="shared" si="11"/>
        <v>0</v>
      </c>
    </row>
    <row r="390" spans="1:11" ht="15.6">
      <c r="A390" s="49">
        <f>'GS DATA'!X390</f>
        <v>0</v>
      </c>
      <c r="B390" s="4">
        <f>'GS DATA'!J390</f>
        <v>0</v>
      </c>
      <c r="C390" s="37" t="e">
        <f>VLOOKUP(B390,'GS 점포명'!A:B,2,0)</f>
        <v>#N/A</v>
      </c>
      <c r="D390" s="4">
        <f>'GS DATA'!J390</f>
        <v>0</v>
      </c>
      <c r="E390" s="37" t="e">
        <f>VLOOKUP(D390,'GS 점포명'!A:B,2,0)</f>
        <v>#N/A</v>
      </c>
      <c r="F390" s="38">
        <f>'GS DATA'!M390</f>
        <v>0</v>
      </c>
      <c r="G390" s="39" t="e">
        <f>VLOOKUP($F390,'GS 제품코드'!$A:$C,3,0)</f>
        <v>#N/A</v>
      </c>
      <c r="H390" s="40">
        <f>'GS DATA'!L390</f>
        <v>0</v>
      </c>
      <c r="I390" s="41">
        <f>'GS DATA'!Q390</f>
        <v>0</v>
      </c>
      <c r="J390" s="42">
        <f>'GS DATA'!S390</f>
        <v>0</v>
      </c>
      <c r="K390" s="43">
        <f t="shared" si="11"/>
        <v>0</v>
      </c>
    </row>
    <row r="391" spans="1:11" ht="15.6">
      <c r="A391" s="49">
        <f>'GS DATA'!X391</f>
        <v>0</v>
      </c>
      <c r="B391" s="4">
        <f>'GS DATA'!J391</f>
        <v>0</v>
      </c>
      <c r="C391" s="37" t="e">
        <f>VLOOKUP(B391,'GS 점포명'!A:B,2,0)</f>
        <v>#N/A</v>
      </c>
      <c r="D391" s="4">
        <f>'GS DATA'!J391</f>
        <v>0</v>
      </c>
      <c r="E391" s="37" t="e">
        <f>VLOOKUP(D391,'GS 점포명'!A:B,2,0)</f>
        <v>#N/A</v>
      </c>
      <c r="F391" s="38">
        <f>'GS DATA'!M391</f>
        <v>0</v>
      </c>
      <c r="G391" s="39" t="e">
        <f>VLOOKUP($F391,'GS 제품코드'!$A:$C,3,0)</f>
        <v>#N/A</v>
      </c>
      <c r="H391" s="40">
        <f>'GS DATA'!L391</f>
        <v>0</v>
      </c>
      <c r="I391" s="41">
        <f>'GS DATA'!Q391</f>
        <v>0</v>
      </c>
      <c r="J391" s="42">
        <f>'GS DATA'!S391</f>
        <v>0</v>
      </c>
      <c r="K391" s="43">
        <f t="shared" si="11"/>
        <v>0</v>
      </c>
    </row>
    <row r="392" spans="1:11" ht="15.6">
      <c r="A392" s="49">
        <f>'GS DATA'!X392</f>
        <v>0</v>
      </c>
      <c r="B392" s="4">
        <f>'GS DATA'!J392</f>
        <v>0</v>
      </c>
      <c r="C392" s="37" t="e">
        <f>VLOOKUP(B392,'GS 점포명'!A:B,2,0)</f>
        <v>#N/A</v>
      </c>
      <c r="D392" s="4">
        <f>'GS DATA'!J392</f>
        <v>0</v>
      </c>
      <c r="E392" s="37" t="e">
        <f>VLOOKUP(D392,'GS 점포명'!A:B,2,0)</f>
        <v>#N/A</v>
      </c>
      <c r="F392" s="38">
        <f>'GS DATA'!M392</f>
        <v>0</v>
      </c>
      <c r="G392" s="39" t="e">
        <f>VLOOKUP($F392,'GS 제품코드'!$A:$C,3,0)</f>
        <v>#N/A</v>
      </c>
      <c r="H392" s="40">
        <f>'GS DATA'!L392</f>
        <v>0</v>
      </c>
      <c r="I392" s="41">
        <f>'GS DATA'!Q392</f>
        <v>0</v>
      </c>
      <c r="J392" s="42">
        <f>'GS DATA'!S392</f>
        <v>0</v>
      </c>
      <c r="K392" s="43">
        <f t="shared" si="11"/>
        <v>0</v>
      </c>
    </row>
    <row r="393" spans="1:11" ht="15.6">
      <c r="A393" s="49">
        <f>'GS DATA'!X393</f>
        <v>0</v>
      </c>
      <c r="B393" s="4">
        <f>'GS DATA'!J393</f>
        <v>0</v>
      </c>
      <c r="C393" s="37" t="e">
        <f>VLOOKUP(B393,'GS 점포명'!A:B,2,0)</f>
        <v>#N/A</v>
      </c>
      <c r="D393" s="4">
        <f>'GS DATA'!J393</f>
        <v>0</v>
      </c>
      <c r="E393" s="37" t="e">
        <f>VLOOKUP(D393,'GS 점포명'!A:B,2,0)</f>
        <v>#N/A</v>
      </c>
      <c r="F393" s="38">
        <f>'GS DATA'!M393</f>
        <v>0</v>
      </c>
      <c r="G393" s="39" t="e">
        <f>VLOOKUP($F393,'GS 제품코드'!$A:$C,3,0)</f>
        <v>#N/A</v>
      </c>
      <c r="H393" s="40">
        <f>'GS DATA'!L393</f>
        <v>0</v>
      </c>
      <c r="I393" s="41">
        <f>'GS DATA'!Q393</f>
        <v>0</v>
      </c>
      <c r="J393" s="42">
        <f>'GS DATA'!S393</f>
        <v>0</v>
      </c>
      <c r="K393" s="43">
        <f t="shared" si="11"/>
        <v>0</v>
      </c>
    </row>
    <row r="394" spans="1:11" ht="15.6">
      <c r="A394" s="49">
        <f>'GS DATA'!X394</f>
        <v>0</v>
      </c>
      <c r="B394" s="4">
        <f>'GS DATA'!J394</f>
        <v>0</v>
      </c>
      <c r="C394" s="37" t="e">
        <f>VLOOKUP(B394,'GS 점포명'!A:B,2,0)</f>
        <v>#N/A</v>
      </c>
      <c r="D394" s="4">
        <f>'GS DATA'!J394</f>
        <v>0</v>
      </c>
      <c r="E394" s="37" t="e">
        <f>VLOOKUP(D394,'GS 점포명'!A:B,2,0)</f>
        <v>#N/A</v>
      </c>
      <c r="F394" s="38">
        <f>'GS DATA'!M394</f>
        <v>0</v>
      </c>
      <c r="G394" s="39" t="e">
        <f>VLOOKUP($F394,'GS 제품코드'!$A:$C,3,0)</f>
        <v>#N/A</v>
      </c>
      <c r="H394" s="40">
        <f>'GS DATA'!L394</f>
        <v>0</v>
      </c>
      <c r="I394" s="41">
        <f>'GS DATA'!Q394</f>
        <v>0</v>
      </c>
      <c r="J394" s="42">
        <f>'GS DATA'!S394</f>
        <v>0</v>
      </c>
      <c r="K394" s="43">
        <f t="shared" si="11"/>
        <v>0</v>
      </c>
    </row>
    <row r="395" spans="1:11" ht="15.6">
      <c r="A395" s="49">
        <f>'GS DATA'!X395</f>
        <v>0</v>
      </c>
      <c r="B395" s="4">
        <f>'GS DATA'!J395</f>
        <v>0</v>
      </c>
      <c r="C395" s="37" t="e">
        <f>VLOOKUP(B395,'GS 점포명'!A:B,2,0)</f>
        <v>#N/A</v>
      </c>
      <c r="D395" s="4">
        <f>'GS DATA'!J395</f>
        <v>0</v>
      </c>
      <c r="E395" s="37" t="e">
        <f>VLOOKUP(D395,'GS 점포명'!A:B,2,0)</f>
        <v>#N/A</v>
      </c>
      <c r="F395" s="38">
        <f>'GS DATA'!M395</f>
        <v>0</v>
      </c>
      <c r="G395" s="39" t="e">
        <f>VLOOKUP($F395,'GS 제품코드'!$A:$C,3,0)</f>
        <v>#N/A</v>
      </c>
      <c r="H395" s="40">
        <f>'GS DATA'!L395</f>
        <v>0</v>
      </c>
      <c r="I395" s="41">
        <f>'GS DATA'!Q395</f>
        <v>0</v>
      </c>
      <c r="J395" s="42">
        <f>'GS DATA'!S395</f>
        <v>0</v>
      </c>
      <c r="K395" s="43">
        <f t="shared" si="11"/>
        <v>0</v>
      </c>
    </row>
    <row r="396" spans="1:11" ht="15.6">
      <c r="A396" s="49">
        <f>'GS DATA'!X396</f>
        <v>0</v>
      </c>
      <c r="B396" s="4">
        <f>'GS DATA'!J396</f>
        <v>0</v>
      </c>
      <c r="C396" s="37" t="e">
        <f>VLOOKUP(B396,'GS 점포명'!A:B,2,0)</f>
        <v>#N/A</v>
      </c>
      <c r="D396" s="4">
        <f>'GS DATA'!J396</f>
        <v>0</v>
      </c>
      <c r="E396" s="37" t="e">
        <f>VLOOKUP(D396,'GS 점포명'!A:B,2,0)</f>
        <v>#N/A</v>
      </c>
      <c r="F396" s="38">
        <f>'GS DATA'!M396</f>
        <v>0</v>
      </c>
      <c r="G396" s="39" t="e">
        <f>VLOOKUP($F396,'GS 제품코드'!$A:$C,3,0)</f>
        <v>#N/A</v>
      </c>
      <c r="H396" s="40">
        <f>'GS DATA'!L396</f>
        <v>0</v>
      </c>
      <c r="I396" s="41">
        <f>'GS DATA'!Q396</f>
        <v>0</v>
      </c>
      <c r="J396" s="42">
        <f>'GS DATA'!S396</f>
        <v>0</v>
      </c>
      <c r="K396" s="43">
        <f t="shared" si="11"/>
        <v>0</v>
      </c>
    </row>
    <row r="397" spans="1:11" ht="15.6">
      <c r="A397" s="49">
        <f>'GS DATA'!X397</f>
        <v>0</v>
      </c>
      <c r="B397" s="4">
        <f>'GS DATA'!J397</f>
        <v>0</v>
      </c>
      <c r="C397" s="37" t="e">
        <f>VLOOKUP(B397,'GS 점포명'!A:B,2,0)</f>
        <v>#N/A</v>
      </c>
      <c r="D397" s="4">
        <f>'GS DATA'!J397</f>
        <v>0</v>
      </c>
      <c r="E397" s="37" t="e">
        <f>VLOOKUP(D397,'GS 점포명'!A:B,2,0)</f>
        <v>#N/A</v>
      </c>
      <c r="F397" s="38">
        <f>'GS DATA'!M397</f>
        <v>0</v>
      </c>
      <c r="G397" s="39" t="e">
        <f>VLOOKUP($F397,'GS 제품코드'!$A:$C,3,0)</f>
        <v>#N/A</v>
      </c>
      <c r="H397" s="40">
        <f>'GS DATA'!L397</f>
        <v>0</v>
      </c>
      <c r="I397" s="41">
        <f>'GS DATA'!Q397</f>
        <v>0</v>
      </c>
      <c r="J397" s="42">
        <f>'GS DATA'!S397</f>
        <v>0</v>
      </c>
      <c r="K397" s="43">
        <f t="shared" si="11"/>
        <v>0</v>
      </c>
    </row>
    <row r="398" spans="1:11" ht="15.6">
      <c r="A398" s="49">
        <f>'GS DATA'!X398</f>
        <v>0</v>
      </c>
      <c r="B398" s="4">
        <f>'GS DATA'!J398</f>
        <v>0</v>
      </c>
      <c r="C398" s="37" t="e">
        <f>VLOOKUP(B398,'GS 점포명'!A:B,2,0)</f>
        <v>#N/A</v>
      </c>
      <c r="D398" s="4">
        <f>'GS DATA'!J398</f>
        <v>0</v>
      </c>
      <c r="E398" s="37" t="e">
        <f>VLOOKUP(D398,'GS 점포명'!A:B,2,0)</f>
        <v>#N/A</v>
      </c>
      <c r="F398" s="38">
        <f>'GS DATA'!M398</f>
        <v>0</v>
      </c>
      <c r="G398" s="39" t="e">
        <f>VLOOKUP($F398,'GS 제품코드'!$A:$C,3,0)</f>
        <v>#N/A</v>
      </c>
      <c r="H398" s="40">
        <f>'GS DATA'!L398</f>
        <v>0</v>
      </c>
      <c r="I398" s="41">
        <f>'GS DATA'!Q398</f>
        <v>0</v>
      </c>
      <c r="J398" s="42">
        <f>'GS DATA'!S398</f>
        <v>0</v>
      </c>
      <c r="K398" s="43">
        <f t="shared" si="11"/>
        <v>0</v>
      </c>
    </row>
    <row r="399" spans="1:11" ht="15.6">
      <c r="A399" s="49">
        <f>'GS DATA'!X399</f>
        <v>0</v>
      </c>
      <c r="B399" s="4">
        <f>'GS DATA'!J399</f>
        <v>0</v>
      </c>
      <c r="C399" s="37" t="e">
        <f>VLOOKUP(B399,'GS 점포명'!A:B,2,0)</f>
        <v>#N/A</v>
      </c>
      <c r="D399" s="4">
        <f>'GS DATA'!J399</f>
        <v>0</v>
      </c>
      <c r="E399" s="37" t="e">
        <f>VLOOKUP(D399,'GS 점포명'!A:B,2,0)</f>
        <v>#N/A</v>
      </c>
      <c r="F399" s="38">
        <f>'GS DATA'!M399</f>
        <v>0</v>
      </c>
      <c r="G399" s="39" t="e">
        <f>VLOOKUP($F399,'GS 제품코드'!$A:$C,3,0)</f>
        <v>#N/A</v>
      </c>
      <c r="H399" s="40">
        <f>'GS DATA'!L399</f>
        <v>0</v>
      </c>
      <c r="I399" s="41">
        <f>'GS DATA'!Q399</f>
        <v>0</v>
      </c>
      <c r="J399" s="42">
        <f>'GS DATA'!S399</f>
        <v>0</v>
      </c>
      <c r="K399" s="43">
        <f t="shared" si="11"/>
        <v>0</v>
      </c>
    </row>
  </sheetData>
  <phoneticPr fontId="139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theme="9" tint="0.79998168889431442"/>
  </sheetPr>
  <dimension ref="A1:J14"/>
  <sheetViews>
    <sheetView zoomScale="115" zoomScaleNormal="115" workbookViewId="0">
      <pane ySplit="1" topLeftCell="A2" activePane="bottomLeft" state="frozen"/>
      <selection activeCell="M12" sqref="M12:M14"/>
      <selection pane="bottomLeft" activeCell="C14" sqref="C14"/>
    </sheetView>
  </sheetViews>
  <sheetFormatPr defaultColWidth="9" defaultRowHeight="15.6"/>
  <cols>
    <col min="1" max="1" width="13.69921875" style="17" bestFit="1" customWidth="1"/>
    <col min="2" max="2" width="23" style="23" bestFit="1" customWidth="1"/>
    <col min="3" max="3" width="11.796875" style="17" bestFit="1" customWidth="1"/>
    <col min="4" max="4" width="7.69921875" style="17" bestFit="1" customWidth="1"/>
    <col min="5" max="7" width="9" style="9"/>
    <col min="8" max="8" width="13.69921875" style="9" bestFit="1" customWidth="1"/>
    <col min="9" max="9" width="30.59765625" style="9" bestFit="1" customWidth="1"/>
    <col min="10" max="10" width="8.5" style="9" bestFit="1" customWidth="1"/>
    <col min="11" max="16384" width="9" style="9"/>
  </cols>
  <sheetData>
    <row r="1" spans="1:10">
      <c r="A1" s="18" t="s">
        <v>11</v>
      </c>
      <c r="B1" s="19" t="s">
        <v>13</v>
      </c>
      <c r="C1" s="18" t="s">
        <v>12</v>
      </c>
      <c r="D1" s="19" t="s">
        <v>14</v>
      </c>
      <c r="I1" s="15" t="s">
        <v>15</v>
      </c>
      <c r="J1" s="15" t="s">
        <v>16</v>
      </c>
    </row>
    <row r="2" spans="1:10">
      <c r="A2" s="32">
        <v>8809020345212</v>
      </c>
      <c r="B2" s="21" t="s">
        <v>40</v>
      </c>
      <c r="C2" s="20" t="s">
        <v>70</v>
      </c>
      <c r="D2" s="22">
        <v>2345</v>
      </c>
      <c r="H2" s="45">
        <v>8809020345212</v>
      </c>
      <c r="I2" s="13" t="s">
        <v>43</v>
      </c>
      <c r="J2" s="12">
        <v>81052901</v>
      </c>
    </row>
    <row r="3" spans="1:10">
      <c r="A3" s="32">
        <v>8809020345229</v>
      </c>
      <c r="B3" s="21" t="s">
        <v>42</v>
      </c>
      <c r="C3" s="21" t="s">
        <v>45</v>
      </c>
      <c r="D3" s="22">
        <v>2345</v>
      </c>
      <c r="H3" s="45">
        <v>8809020348978</v>
      </c>
      <c r="I3" s="13" t="s">
        <v>39</v>
      </c>
      <c r="J3" s="12">
        <v>81052902</v>
      </c>
    </row>
    <row r="4" spans="1:10">
      <c r="A4" s="32">
        <v>8809020348978</v>
      </c>
      <c r="B4" s="21" t="s">
        <v>48</v>
      </c>
      <c r="C4" s="62" t="s">
        <v>88</v>
      </c>
      <c r="D4" s="22">
        <v>2700</v>
      </c>
      <c r="H4" s="45">
        <v>8809020341054</v>
      </c>
      <c r="I4" s="13" t="s">
        <v>41</v>
      </c>
      <c r="J4" s="12">
        <v>81052903</v>
      </c>
    </row>
    <row r="5" spans="1:10">
      <c r="A5" s="24">
        <v>8809020346509</v>
      </c>
      <c r="B5" s="16" t="s">
        <v>54</v>
      </c>
      <c r="C5" s="17" t="s">
        <v>53</v>
      </c>
      <c r="H5" s="45">
        <v>8809020341207</v>
      </c>
      <c r="I5" s="13" t="s">
        <v>44</v>
      </c>
      <c r="J5" s="12">
        <v>81052904</v>
      </c>
    </row>
    <row r="6" spans="1:10" ht="17.399999999999999">
      <c r="A6" s="24">
        <v>8809020346592</v>
      </c>
      <c r="B6" s="16" t="s">
        <v>60</v>
      </c>
      <c r="C6" s="17" t="s">
        <v>59</v>
      </c>
      <c r="H6"/>
      <c r="I6" s="31" t="s">
        <v>49</v>
      </c>
      <c r="J6" s="30">
        <v>81052906</v>
      </c>
    </row>
    <row r="7" spans="1:10" ht="17.399999999999999">
      <c r="A7" s="24">
        <v>8809020346561</v>
      </c>
      <c r="B7" s="16" t="s">
        <v>55</v>
      </c>
      <c r="C7" s="17" t="s">
        <v>58</v>
      </c>
      <c r="H7"/>
      <c r="I7" s="14" t="s">
        <v>50</v>
      </c>
      <c r="J7" s="31">
        <v>81052907</v>
      </c>
    </row>
    <row r="8" spans="1:10" ht="17.399999999999999">
      <c r="A8" s="24">
        <v>8809020346547</v>
      </c>
      <c r="B8" s="16" t="s">
        <v>57</v>
      </c>
      <c r="C8" s="17" t="s">
        <v>56</v>
      </c>
      <c r="E8" s="9">
        <v>5096</v>
      </c>
      <c r="H8"/>
      <c r="I8" s="25" t="s">
        <v>51</v>
      </c>
      <c r="J8" s="31">
        <v>81052908</v>
      </c>
    </row>
    <row r="9" spans="1:10" ht="17.399999999999999">
      <c r="A9" s="24">
        <v>8809020341207</v>
      </c>
      <c r="B9" s="23" t="s">
        <v>61</v>
      </c>
      <c r="C9" s="17" t="s">
        <v>77</v>
      </c>
      <c r="D9" s="17">
        <v>4050</v>
      </c>
      <c r="E9" s="36" t="s">
        <v>62</v>
      </c>
      <c r="H9"/>
      <c r="I9" s="14" t="s">
        <v>52</v>
      </c>
      <c r="J9" s="14">
        <v>81052910</v>
      </c>
    </row>
    <row r="10" spans="1:10" ht="17.399999999999999">
      <c r="A10" s="44">
        <v>8809020341054</v>
      </c>
      <c r="B10" s="24" t="s">
        <v>63</v>
      </c>
      <c r="C10" s="17" t="s">
        <v>64</v>
      </c>
      <c r="E10" s="36" t="s">
        <v>65</v>
      </c>
      <c r="H10"/>
      <c r="I10" s="4" t="s">
        <v>69</v>
      </c>
      <c r="J10" s="14">
        <v>81052912</v>
      </c>
    </row>
    <row r="11" spans="1:10">
      <c r="A11" s="50">
        <v>8809020341061</v>
      </c>
      <c r="B11" s="23" t="s">
        <v>68</v>
      </c>
      <c r="C11" s="17" t="s">
        <v>67</v>
      </c>
      <c r="I11" s="9" t="s">
        <v>87</v>
      </c>
      <c r="J11" s="9">
        <v>81033010</v>
      </c>
    </row>
    <row r="12" spans="1:10">
      <c r="A12" s="17">
        <v>8809020343744</v>
      </c>
      <c r="B12" s="23" t="s">
        <v>78</v>
      </c>
      <c r="C12" s="17" t="s">
        <v>79</v>
      </c>
    </row>
    <row r="13" spans="1:10">
      <c r="A13" s="17">
        <v>8809020344024</v>
      </c>
      <c r="B13" s="23" t="s">
        <v>80</v>
      </c>
      <c r="C13" s="17" t="s">
        <v>81</v>
      </c>
    </row>
    <row r="14" spans="1:10">
      <c r="A14" s="17">
        <v>8809020344468</v>
      </c>
      <c r="B14" s="23" t="s">
        <v>82</v>
      </c>
      <c r="C14" s="17" t="s">
        <v>94</v>
      </c>
    </row>
  </sheetData>
  <phoneticPr fontId="13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tabColor theme="9" tint="0.79998168889431442"/>
  </sheetPr>
  <dimension ref="A1:B11"/>
  <sheetViews>
    <sheetView workbookViewId="0">
      <selection activeCell="A11" sqref="A11:B11"/>
    </sheetView>
  </sheetViews>
  <sheetFormatPr defaultRowHeight="17.399999999999999"/>
  <cols>
    <col min="1" max="1" width="30.796875" style="14" bestFit="1" customWidth="1"/>
    <col min="2" max="2" width="8.5" style="14" bestFit="1" customWidth="1"/>
  </cols>
  <sheetData>
    <row r="1" spans="1:2">
      <c r="A1" s="15" t="s">
        <v>15</v>
      </c>
      <c r="B1" s="15" t="s">
        <v>16</v>
      </c>
    </row>
    <row r="2" spans="1:2">
      <c r="A2" s="13" t="s">
        <v>43</v>
      </c>
      <c r="B2" s="12">
        <v>81052901</v>
      </c>
    </row>
    <row r="3" spans="1:2">
      <c r="A3" s="13" t="s">
        <v>39</v>
      </c>
      <c r="B3" s="12">
        <v>81052902</v>
      </c>
    </row>
    <row r="4" spans="1:2">
      <c r="A4" s="13" t="s">
        <v>41</v>
      </c>
      <c r="B4" s="12">
        <v>81052903</v>
      </c>
    </row>
    <row r="5" spans="1:2">
      <c r="A5" s="13" t="s">
        <v>44</v>
      </c>
      <c r="B5" s="12">
        <v>81052904</v>
      </c>
    </row>
    <row r="6" spans="1:2">
      <c r="A6" s="31" t="s">
        <v>49</v>
      </c>
      <c r="B6" s="30">
        <v>81052906</v>
      </c>
    </row>
    <row r="7" spans="1:2">
      <c r="A7" s="14" t="s">
        <v>50</v>
      </c>
      <c r="B7" s="31">
        <v>81052907</v>
      </c>
    </row>
    <row r="8" spans="1:2">
      <c r="A8" s="25" t="s">
        <v>51</v>
      </c>
      <c r="B8" s="31">
        <v>81052908</v>
      </c>
    </row>
    <row r="9" spans="1:2">
      <c r="A9" s="14" t="s">
        <v>52</v>
      </c>
      <c r="B9" s="14">
        <v>81052910</v>
      </c>
    </row>
    <row r="10" spans="1:2">
      <c r="A10" s="4" t="s">
        <v>69</v>
      </c>
      <c r="B10" s="14">
        <v>81052912</v>
      </c>
    </row>
    <row r="11" spans="1:2">
      <c r="A11" s="14" t="s">
        <v>87</v>
      </c>
      <c r="B11" s="14">
        <v>81033010</v>
      </c>
    </row>
  </sheetData>
  <phoneticPr fontId="13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1</vt:i4>
      </vt:variant>
    </vt:vector>
  </HeadingPairs>
  <TitlesOfParts>
    <vt:vector size="5" baseType="lpstr">
      <vt:lpstr>GS DATA</vt:lpstr>
      <vt:lpstr>GS 서식파일(수주업로드)</vt:lpstr>
      <vt:lpstr>GS 제품코드</vt:lpstr>
      <vt:lpstr>GS 점포명</vt:lpstr>
      <vt:lpstr>지우기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Eileen Lee;User</dc:creator>
  <cp:lastModifiedBy>park jh</cp:lastModifiedBy>
  <dcterms:created xsi:type="dcterms:W3CDTF">2015-02-02T05:31:49Z</dcterms:created>
  <dcterms:modified xsi:type="dcterms:W3CDTF">2026-03-24T06:43:44Z</dcterms:modified>
</cp:coreProperties>
</file>