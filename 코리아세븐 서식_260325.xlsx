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Users\jhpark\OneDrive - 맨소래담\바탕 화면\편의점 &amp; 샘플\"/>
    </mc:Choice>
  </mc:AlternateContent>
  <xr:revisionPtr revIDLastSave="0" documentId="13_ncr:1_{75059911-5E0D-43A3-960C-61F1144CB8E4}" xr6:coauthVersionLast="47" xr6:coauthVersionMax="47" xr10:uidLastSave="{00000000-0000-0000-0000-000000000000}"/>
  <bookViews>
    <workbookView xWindow="-96" yWindow="-96" windowWidth="23232" windowHeight="12552" xr2:uid="{00000000-000D-0000-FFFF-FFFF00000000}"/>
  </bookViews>
  <sheets>
    <sheet name="210311 (3)" sheetId="60" r:id="rId1"/>
    <sheet name="마스터" sheetId="3" r:id="rId2"/>
  </sheets>
  <definedNames>
    <definedName name="_xlnm._FilterDatabase" localSheetId="0" hidden="1">'210311 (3)'!$A$5:$J$175</definedName>
    <definedName name="지우기" localSheetId="0">'210311 (3)'!$A:$I</definedName>
    <definedName name="지우기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53" i="60" l="1"/>
  <c r="O61" i="60"/>
  <c r="O69" i="60"/>
  <c r="O77" i="60"/>
  <c r="O85" i="60"/>
  <c r="O93" i="60"/>
  <c r="O101" i="60"/>
  <c r="O109" i="60"/>
  <c r="O117" i="60"/>
  <c r="O125" i="60"/>
  <c r="O133" i="60"/>
  <c r="O141" i="60"/>
  <c r="O149" i="60"/>
  <c r="O157" i="60"/>
  <c r="O165" i="60"/>
  <c r="O173" i="60"/>
  <c r="O181" i="60"/>
  <c r="O188" i="60"/>
  <c r="O189" i="60"/>
  <c r="O23" i="60"/>
  <c r="O31" i="60"/>
  <c r="O39" i="60"/>
  <c r="O47" i="60"/>
  <c r="O15" i="60"/>
  <c r="N7" i="60"/>
  <c r="O7" i="60" s="1"/>
  <c r="N8" i="60"/>
  <c r="O8" i="60" s="1"/>
  <c r="N9" i="60"/>
  <c r="O9" i="60" s="1"/>
  <c r="N10" i="60"/>
  <c r="O10" i="60" s="1"/>
  <c r="N11" i="60"/>
  <c r="O11" i="60" s="1"/>
  <c r="N12" i="60"/>
  <c r="O12" i="60" s="1"/>
  <c r="N13" i="60"/>
  <c r="O13" i="60" s="1"/>
  <c r="N14" i="60"/>
  <c r="O14" i="60" s="1"/>
  <c r="N15" i="60"/>
  <c r="N16" i="60"/>
  <c r="O16" i="60" s="1"/>
  <c r="N17" i="60"/>
  <c r="O17" i="60" s="1"/>
  <c r="N18" i="60"/>
  <c r="O18" i="60" s="1"/>
  <c r="N19" i="60"/>
  <c r="O19" i="60" s="1"/>
  <c r="N20" i="60"/>
  <c r="O20" i="60" s="1"/>
  <c r="N21" i="60"/>
  <c r="O21" i="60" s="1"/>
  <c r="N22" i="60"/>
  <c r="O22" i="60" s="1"/>
  <c r="N23" i="60"/>
  <c r="N24" i="60"/>
  <c r="O24" i="60" s="1"/>
  <c r="N25" i="60"/>
  <c r="O25" i="60" s="1"/>
  <c r="N26" i="60"/>
  <c r="O26" i="60" s="1"/>
  <c r="N27" i="60"/>
  <c r="O27" i="60" s="1"/>
  <c r="N28" i="60"/>
  <c r="O28" i="60" s="1"/>
  <c r="N29" i="60"/>
  <c r="O29" i="60" s="1"/>
  <c r="N30" i="60"/>
  <c r="O30" i="60" s="1"/>
  <c r="N31" i="60"/>
  <c r="N32" i="60"/>
  <c r="O32" i="60" s="1"/>
  <c r="N33" i="60"/>
  <c r="O33" i="60" s="1"/>
  <c r="N34" i="60"/>
  <c r="O34" i="60" s="1"/>
  <c r="N35" i="60"/>
  <c r="O35" i="60" s="1"/>
  <c r="N36" i="60"/>
  <c r="O36" i="60" s="1"/>
  <c r="N37" i="60"/>
  <c r="O37" i="60" s="1"/>
  <c r="N38" i="60"/>
  <c r="O38" i="60" s="1"/>
  <c r="N39" i="60"/>
  <c r="N40" i="60"/>
  <c r="O40" i="60" s="1"/>
  <c r="N41" i="60"/>
  <c r="O41" i="60" s="1"/>
  <c r="N42" i="60"/>
  <c r="O42" i="60" s="1"/>
  <c r="N43" i="60"/>
  <c r="O43" i="60" s="1"/>
  <c r="N44" i="60"/>
  <c r="O44" i="60" s="1"/>
  <c r="N45" i="60"/>
  <c r="O45" i="60" s="1"/>
  <c r="N46" i="60"/>
  <c r="O46" i="60" s="1"/>
  <c r="N47" i="60"/>
  <c r="N48" i="60"/>
  <c r="O48" i="60" s="1"/>
  <c r="N49" i="60"/>
  <c r="O49" i="60" s="1"/>
  <c r="N50" i="60"/>
  <c r="O50" i="60" s="1"/>
  <c r="N51" i="60"/>
  <c r="O51" i="60" s="1"/>
  <c r="N52" i="60"/>
  <c r="O52" i="60" s="1"/>
  <c r="N53" i="60"/>
  <c r="N54" i="60"/>
  <c r="O54" i="60" s="1"/>
  <c r="N55" i="60"/>
  <c r="O55" i="60" s="1"/>
  <c r="N56" i="60"/>
  <c r="O56" i="60" s="1"/>
  <c r="N57" i="60"/>
  <c r="O57" i="60" s="1"/>
  <c r="N58" i="60"/>
  <c r="O58" i="60" s="1"/>
  <c r="N59" i="60"/>
  <c r="O59" i="60" s="1"/>
  <c r="N60" i="60"/>
  <c r="O60" i="60" s="1"/>
  <c r="N61" i="60"/>
  <c r="N62" i="60"/>
  <c r="O62" i="60" s="1"/>
  <c r="N63" i="60"/>
  <c r="O63" i="60" s="1"/>
  <c r="N64" i="60"/>
  <c r="O64" i="60" s="1"/>
  <c r="N65" i="60"/>
  <c r="O65" i="60" s="1"/>
  <c r="N66" i="60"/>
  <c r="O66" i="60" s="1"/>
  <c r="N67" i="60"/>
  <c r="O67" i="60" s="1"/>
  <c r="N68" i="60"/>
  <c r="O68" i="60" s="1"/>
  <c r="N69" i="60"/>
  <c r="N70" i="60"/>
  <c r="O70" i="60" s="1"/>
  <c r="N71" i="60"/>
  <c r="O71" i="60" s="1"/>
  <c r="N72" i="60"/>
  <c r="O72" i="60" s="1"/>
  <c r="N73" i="60"/>
  <c r="O73" i="60" s="1"/>
  <c r="N74" i="60"/>
  <c r="O74" i="60" s="1"/>
  <c r="N75" i="60"/>
  <c r="O75" i="60" s="1"/>
  <c r="N76" i="60"/>
  <c r="O76" i="60" s="1"/>
  <c r="N77" i="60"/>
  <c r="N78" i="60"/>
  <c r="O78" i="60" s="1"/>
  <c r="N79" i="60"/>
  <c r="O79" i="60" s="1"/>
  <c r="N80" i="60"/>
  <c r="O80" i="60" s="1"/>
  <c r="N81" i="60"/>
  <c r="O81" i="60" s="1"/>
  <c r="N82" i="60"/>
  <c r="O82" i="60" s="1"/>
  <c r="N83" i="60"/>
  <c r="O83" i="60" s="1"/>
  <c r="N84" i="60"/>
  <c r="O84" i="60" s="1"/>
  <c r="N85" i="60"/>
  <c r="N86" i="60"/>
  <c r="O86" i="60" s="1"/>
  <c r="N87" i="60"/>
  <c r="O87" i="60" s="1"/>
  <c r="N88" i="60"/>
  <c r="O88" i="60" s="1"/>
  <c r="N89" i="60"/>
  <c r="O89" i="60" s="1"/>
  <c r="N90" i="60"/>
  <c r="O90" i="60" s="1"/>
  <c r="N91" i="60"/>
  <c r="O91" i="60" s="1"/>
  <c r="N92" i="60"/>
  <c r="O92" i="60" s="1"/>
  <c r="N93" i="60"/>
  <c r="N94" i="60"/>
  <c r="O94" i="60" s="1"/>
  <c r="N95" i="60"/>
  <c r="O95" i="60" s="1"/>
  <c r="N96" i="60"/>
  <c r="O96" i="60" s="1"/>
  <c r="N97" i="60"/>
  <c r="O97" i="60" s="1"/>
  <c r="N98" i="60"/>
  <c r="O98" i="60" s="1"/>
  <c r="N99" i="60"/>
  <c r="O99" i="60" s="1"/>
  <c r="N100" i="60"/>
  <c r="O100" i="60" s="1"/>
  <c r="N101" i="60"/>
  <c r="N102" i="60"/>
  <c r="O102" i="60" s="1"/>
  <c r="N103" i="60"/>
  <c r="O103" i="60" s="1"/>
  <c r="N104" i="60"/>
  <c r="O104" i="60" s="1"/>
  <c r="N105" i="60"/>
  <c r="O105" i="60" s="1"/>
  <c r="N106" i="60"/>
  <c r="O106" i="60" s="1"/>
  <c r="N107" i="60"/>
  <c r="O107" i="60" s="1"/>
  <c r="N108" i="60"/>
  <c r="O108" i="60" s="1"/>
  <c r="N109" i="60"/>
  <c r="N110" i="60"/>
  <c r="O110" i="60" s="1"/>
  <c r="N111" i="60"/>
  <c r="O111" i="60" s="1"/>
  <c r="N112" i="60"/>
  <c r="O112" i="60" s="1"/>
  <c r="N113" i="60"/>
  <c r="O113" i="60" s="1"/>
  <c r="N114" i="60"/>
  <c r="O114" i="60" s="1"/>
  <c r="N115" i="60"/>
  <c r="O115" i="60" s="1"/>
  <c r="N116" i="60"/>
  <c r="O116" i="60" s="1"/>
  <c r="N117" i="60"/>
  <c r="N118" i="60"/>
  <c r="O118" i="60" s="1"/>
  <c r="N119" i="60"/>
  <c r="O119" i="60" s="1"/>
  <c r="N120" i="60"/>
  <c r="O120" i="60" s="1"/>
  <c r="N121" i="60"/>
  <c r="O121" i="60" s="1"/>
  <c r="N122" i="60"/>
  <c r="O122" i="60" s="1"/>
  <c r="N123" i="60"/>
  <c r="O123" i="60" s="1"/>
  <c r="N124" i="60"/>
  <c r="O124" i="60" s="1"/>
  <c r="N125" i="60"/>
  <c r="N126" i="60"/>
  <c r="O126" i="60" s="1"/>
  <c r="N127" i="60"/>
  <c r="O127" i="60" s="1"/>
  <c r="N128" i="60"/>
  <c r="O128" i="60" s="1"/>
  <c r="N129" i="60"/>
  <c r="O129" i="60" s="1"/>
  <c r="N130" i="60"/>
  <c r="O130" i="60" s="1"/>
  <c r="N131" i="60"/>
  <c r="O131" i="60" s="1"/>
  <c r="N132" i="60"/>
  <c r="O132" i="60" s="1"/>
  <c r="N133" i="60"/>
  <c r="N134" i="60"/>
  <c r="O134" i="60" s="1"/>
  <c r="N135" i="60"/>
  <c r="O135" i="60" s="1"/>
  <c r="N136" i="60"/>
  <c r="O136" i="60" s="1"/>
  <c r="N137" i="60"/>
  <c r="O137" i="60" s="1"/>
  <c r="N138" i="60"/>
  <c r="O138" i="60" s="1"/>
  <c r="N139" i="60"/>
  <c r="O139" i="60" s="1"/>
  <c r="N140" i="60"/>
  <c r="O140" i="60" s="1"/>
  <c r="N141" i="60"/>
  <c r="N142" i="60"/>
  <c r="O142" i="60" s="1"/>
  <c r="N143" i="60"/>
  <c r="O143" i="60" s="1"/>
  <c r="N144" i="60"/>
  <c r="O144" i="60" s="1"/>
  <c r="N145" i="60"/>
  <c r="O145" i="60" s="1"/>
  <c r="N146" i="60"/>
  <c r="O146" i="60" s="1"/>
  <c r="N147" i="60"/>
  <c r="O147" i="60" s="1"/>
  <c r="N148" i="60"/>
  <c r="O148" i="60" s="1"/>
  <c r="N149" i="60"/>
  <c r="N150" i="60"/>
  <c r="O150" i="60" s="1"/>
  <c r="N151" i="60"/>
  <c r="O151" i="60" s="1"/>
  <c r="N152" i="60"/>
  <c r="O152" i="60" s="1"/>
  <c r="N153" i="60"/>
  <c r="O153" i="60" s="1"/>
  <c r="N154" i="60"/>
  <c r="O154" i="60" s="1"/>
  <c r="N155" i="60"/>
  <c r="O155" i="60" s="1"/>
  <c r="N156" i="60"/>
  <c r="O156" i="60" s="1"/>
  <c r="N157" i="60"/>
  <c r="N158" i="60"/>
  <c r="O158" i="60" s="1"/>
  <c r="N159" i="60"/>
  <c r="O159" i="60" s="1"/>
  <c r="N160" i="60"/>
  <c r="O160" i="60" s="1"/>
  <c r="N161" i="60"/>
  <c r="O161" i="60" s="1"/>
  <c r="N162" i="60"/>
  <c r="O162" i="60" s="1"/>
  <c r="N163" i="60"/>
  <c r="O163" i="60" s="1"/>
  <c r="N164" i="60"/>
  <c r="O164" i="60" s="1"/>
  <c r="N165" i="60"/>
  <c r="N166" i="60"/>
  <c r="O166" i="60" s="1"/>
  <c r="N167" i="60"/>
  <c r="O167" i="60" s="1"/>
  <c r="N168" i="60"/>
  <c r="O168" i="60" s="1"/>
  <c r="N169" i="60"/>
  <c r="O169" i="60" s="1"/>
  <c r="N170" i="60"/>
  <c r="O170" i="60" s="1"/>
  <c r="N171" i="60"/>
  <c r="O171" i="60" s="1"/>
  <c r="N172" i="60"/>
  <c r="O172" i="60" s="1"/>
  <c r="N173" i="60"/>
  <c r="N174" i="60"/>
  <c r="O174" i="60" s="1"/>
  <c r="N175" i="60"/>
  <c r="O175" i="60" s="1"/>
  <c r="N176" i="60"/>
  <c r="O176" i="60" s="1"/>
  <c r="N177" i="60"/>
  <c r="O177" i="60" s="1"/>
  <c r="N178" i="60"/>
  <c r="O178" i="60" s="1"/>
  <c r="N179" i="60"/>
  <c r="O179" i="60" s="1"/>
  <c r="N180" i="60"/>
  <c r="O180" i="60" s="1"/>
  <c r="N181" i="60"/>
  <c r="N182" i="60"/>
  <c r="O182" i="60" s="1"/>
  <c r="N183" i="60"/>
  <c r="O183" i="60" s="1"/>
  <c r="N184" i="60"/>
  <c r="O184" i="60" s="1"/>
  <c r="N185" i="60"/>
  <c r="O185" i="60" s="1"/>
  <c r="N186" i="60"/>
  <c r="O186" i="60" s="1"/>
  <c r="N187" i="60"/>
  <c r="O187" i="60" s="1"/>
  <c r="N6" i="60"/>
  <c r="O6" i="60" s="1"/>
  <c r="M184" i="60" l="1"/>
  <c r="M183" i="60"/>
  <c r="L182" i="60"/>
  <c r="M182" i="60" s="1"/>
  <c r="L181" i="60"/>
  <c r="M181" i="60" s="1"/>
  <c r="L180" i="60"/>
  <c r="M180" i="60" s="1"/>
  <c r="L179" i="60"/>
  <c r="M179" i="60" s="1"/>
  <c r="L178" i="60"/>
  <c r="M178" i="60" s="1"/>
  <c r="L177" i="60"/>
  <c r="M177" i="60" s="1"/>
  <c r="L176" i="60"/>
  <c r="M176" i="60" s="1"/>
  <c r="L85" i="60"/>
  <c r="M85" i="60" s="1"/>
  <c r="L78" i="60"/>
  <c r="M78" i="60" s="1"/>
  <c r="L71" i="60"/>
  <c r="M71" i="60" s="1"/>
  <c r="L64" i="60"/>
  <c r="M64" i="60" s="1"/>
  <c r="L57" i="60"/>
  <c r="M57" i="60" s="1"/>
  <c r="L50" i="60"/>
  <c r="M50" i="60" s="1"/>
  <c r="L43" i="60"/>
  <c r="M43" i="60" s="1"/>
  <c r="L36" i="60"/>
  <c r="M36" i="60" s="1"/>
  <c r="L29" i="60"/>
  <c r="M29" i="60" s="1"/>
  <c r="L22" i="60"/>
  <c r="M22" i="60" s="1"/>
  <c r="L15" i="60"/>
  <c r="M15" i="60" s="1"/>
  <c r="M189" i="60"/>
  <c r="M188" i="60"/>
  <c r="M187" i="60"/>
  <c r="M186" i="60"/>
  <c r="M185" i="60"/>
  <c r="L51" i="60"/>
  <c r="M51" i="60" s="1"/>
  <c r="L37" i="60"/>
  <c r="M37" i="60" s="1"/>
  <c r="J16" i="60"/>
  <c r="L16" i="60"/>
  <c r="M16" i="60" s="1"/>
  <c r="P16" i="60"/>
  <c r="Q16" i="60"/>
  <c r="R16" i="60"/>
  <c r="J17" i="60"/>
  <c r="L17" i="60"/>
  <c r="M17" i="60" s="1"/>
  <c r="P17" i="60"/>
  <c r="Q17" i="60"/>
  <c r="R17" i="60"/>
  <c r="J18" i="60"/>
  <c r="L18" i="60"/>
  <c r="M18" i="60" s="1"/>
  <c r="P18" i="60"/>
  <c r="Q18" i="60"/>
  <c r="R18" i="60"/>
  <c r="J19" i="60"/>
  <c r="L19" i="60"/>
  <c r="M19" i="60" s="1"/>
  <c r="P19" i="60"/>
  <c r="Q19" i="60"/>
  <c r="R19" i="60"/>
  <c r="J20" i="60"/>
  <c r="L20" i="60"/>
  <c r="M20" i="60" s="1"/>
  <c r="P20" i="60"/>
  <c r="Q20" i="60"/>
  <c r="R20" i="60"/>
  <c r="J21" i="60"/>
  <c r="L21" i="60"/>
  <c r="M21" i="60" s="1"/>
  <c r="P21" i="60"/>
  <c r="Q21" i="60"/>
  <c r="R21" i="60"/>
  <c r="J22" i="60"/>
  <c r="P22" i="60"/>
  <c r="Q22" i="60"/>
  <c r="R22" i="60"/>
  <c r="J23" i="60"/>
  <c r="L23" i="60"/>
  <c r="M23" i="60" s="1"/>
  <c r="P23" i="60"/>
  <c r="Q23" i="60"/>
  <c r="R23" i="60"/>
  <c r="J24" i="60"/>
  <c r="L24" i="60"/>
  <c r="M24" i="60" s="1"/>
  <c r="P24" i="60"/>
  <c r="Q24" i="60"/>
  <c r="R24" i="60"/>
  <c r="J25" i="60"/>
  <c r="L25" i="60"/>
  <c r="M25" i="60" s="1"/>
  <c r="P25" i="60"/>
  <c r="Q25" i="60"/>
  <c r="R25" i="60"/>
  <c r="J26" i="60"/>
  <c r="L26" i="60"/>
  <c r="M26" i="60" s="1"/>
  <c r="P26" i="60"/>
  <c r="Q26" i="60"/>
  <c r="R26" i="60"/>
  <c r="J27" i="60"/>
  <c r="L27" i="60"/>
  <c r="M27" i="60" s="1"/>
  <c r="P27" i="60"/>
  <c r="Q27" i="60"/>
  <c r="R27" i="60"/>
  <c r="J28" i="60"/>
  <c r="L28" i="60"/>
  <c r="M28" i="60" s="1"/>
  <c r="P28" i="60"/>
  <c r="Q28" i="60"/>
  <c r="R28" i="60"/>
  <c r="J29" i="60"/>
  <c r="P29" i="60"/>
  <c r="Q29" i="60"/>
  <c r="R29" i="60"/>
  <c r="J30" i="60"/>
  <c r="L30" i="60"/>
  <c r="M30" i="60" s="1"/>
  <c r="P30" i="60"/>
  <c r="Q30" i="60"/>
  <c r="R30" i="60"/>
  <c r="J31" i="60"/>
  <c r="L31" i="60"/>
  <c r="M31" i="60" s="1"/>
  <c r="P31" i="60"/>
  <c r="Q31" i="60"/>
  <c r="R31" i="60"/>
  <c r="J32" i="60"/>
  <c r="L32" i="60"/>
  <c r="M32" i="60" s="1"/>
  <c r="P32" i="60"/>
  <c r="Q32" i="60"/>
  <c r="R32" i="60"/>
  <c r="J33" i="60"/>
  <c r="L33" i="60"/>
  <c r="M33" i="60" s="1"/>
  <c r="P33" i="60"/>
  <c r="Q33" i="60"/>
  <c r="R33" i="60"/>
  <c r="J34" i="60"/>
  <c r="L34" i="60"/>
  <c r="M34" i="60" s="1"/>
  <c r="P34" i="60"/>
  <c r="Q34" i="60"/>
  <c r="R34" i="60"/>
  <c r="J35" i="60"/>
  <c r="L35" i="60"/>
  <c r="M35" i="60" s="1"/>
  <c r="P35" i="60"/>
  <c r="Q35" i="60"/>
  <c r="R35" i="60"/>
  <c r="J36" i="60"/>
  <c r="P36" i="60"/>
  <c r="Q36" i="60"/>
  <c r="R36" i="60"/>
  <c r="J37" i="60"/>
  <c r="P37" i="60"/>
  <c r="Q37" i="60"/>
  <c r="R37" i="60"/>
  <c r="J38" i="60"/>
  <c r="L38" i="60"/>
  <c r="M38" i="60" s="1"/>
  <c r="P38" i="60"/>
  <c r="Q38" i="60"/>
  <c r="R38" i="60"/>
  <c r="J39" i="60"/>
  <c r="L39" i="60"/>
  <c r="M39" i="60" s="1"/>
  <c r="P39" i="60"/>
  <c r="Q39" i="60"/>
  <c r="R39" i="60"/>
  <c r="J40" i="60"/>
  <c r="L40" i="60"/>
  <c r="M40" i="60" s="1"/>
  <c r="P40" i="60"/>
  <c r="Q40" i="60"/>
  <c r="R40" i="60"/>
  <c r="J41" i="60"/>
  <c r="L41" i="60"/>
  <c r="M41" i="60" s="1"/>
  <c r="P41" i="60"/>
  <c r="Q41" i="60"/>
  <c r="R41" i="60"/>
  <c r="J42" i="60"/>
  <c r="L42" i="60"/>
  <c r="M42" i="60" s="1"/>
  <c r="P42" i="60"/>
  <c r="Q42" i="60"/>
  <c r="R42" i="60"/>
  <c r="L55" i="60"/>
  <c r="M55" i="60" s="1"/>
  <c r="L54" i="60"/>
  <c r="M54" i="60" s="1"/>
  <c r="L46" i="60"/>
  <c r="M46" i="60" s="1"/>
  <c r="L8" i="60"/>
  <c r="M8" i="60" s="1"/>
  <c r="L47" i="60"/>
  <c r="M47" i="60" s="1"/>
  <c r="L9" i="60"/>
  <c r="M9" i="60" s="1"/>
  <c r="L56" i="60"/>
  <c r="M56" i="60" s="1"/>
  <c r="L49" i="60"/>
  <c r="M49" i="60" s="1"/>
  <c r="L48" i="60"/>
  <c r="M48" i="60" s="1"/>
  <c r="L84" i="60"/>
  <c r="M84" i="60" s="1"/>
  <c r="L77" i="60"/>
  <c r="M77" i="60" s="1"/>
  <c r="L76" i="60"/>
  <c r="M76" i="60" s="1"/>
  <c r="L69" i="60"/>
  <c r="M69" i="60" s="1"/>
  <c r="L68" i="60"/>
  <c r="M68" i="60" s="1"/>
  <c r="L61" i="60"/>
  <c r="M61" i="60" s="1"/>
  <c r="L60" i="60"/>
  <c r="M60" i="60" s="1"/>
  <c r="L53" i="60"/>
  <c r="M53" i="60" s="1"/>
  <c r="L52" i="60"/>
  <c r="M52" i="60" s="1"/>
  <c r="L45" i="60"/>
  <c r="M45" i="60" s="1"/>
  <c r="L44" i="60"/>
  <c r="M44" i="60" s="1"/>
  <c r="J43" i="60"/>
  <c r="P43" i="60"/>
  <c r="Q43" i="60"/>
  <c r="R43" i="60"/>
  <c r="J44" i="60"/>
  <c r="P44" i="60"/>
  <c r="Q44" i="60"/>
  <c r="R44" i="60"/>
  <c r="J45" i="60"/>
  <c r="P45" i="60"/>
  <c r="Q45" i="60"/>
  <c r="R45" i="60"/>
  <c r="J46" i="60"/>
  <c r="P46" i="60"/>
  <c r="Q46" i="60"/>
  <c r="R46" i="60"/>
  <c r="J47" i="60"/>
  <c r="P47" i="60"/>
  <c r="Q47" i="60"/>
  <c r="R47" i="60"/>
  <c r="J48" i="60"/>
  <c r="P48" i="60"/>
  <c r="Q48" i="60"/>
  <c r="R48" i="60"/>
  <c r="J49" i="60"/>
  <c r="P49" i="60"/>
  <c r="Q49" i="60"/>
  <c r="R49" i="60"/>
  <c r="J50" i="60"/>
  <c r="P50" i="60"/>
  <c r="Q50" i="60"/>
  <c r="R50" i="60"/>
  <c r="J51" i="60"/>
  <c r="P51" i="60"/>
  <c r="Q51" i="60"/>
  <c r="R51" i="60"/>
  <c r="J52" i="60"/>
  <c r="P52" i="60"/>
  <c r="Q52" i="60"/>
  <c r="R52" i="60"/>
  <c r="J53" i="60"/>
  <c r="P53" i="60"/>
  <c r="Q53" i="60"/>
  <c r="R53" i="60"/>
  <c r="J54" i="60"/>
  <c r="P54" i="60"/>
  <c r="Q54" i="60"/>
  <c r="R54" i="60"/>
  <c r="J55" i="60"/>
  <c r="P55" i="60"/>
  <c r="Q55" i="60"/>
  <c r="R55" i="60"/>
  <c r="J56" i="60"/>
  <c r="P56" i="60"/>
  <c r="Q56" i="60"/>
  <c r="R56" i="60"/>
  <c r="J57" i="60"/>
  <c r="P57" i="60"/>
  <c r="Q57" i="60"/>
  <c r="R57" i="60"/>
  <c r="J58" i="60"/>
  <c r="L58" i="60"/>
  <c r="M58" i="60" s="1"/>
  <c r="P58" i="60"/>
  <c r="Q58" i="60"/>
  <c r="R58" i="60"/>
  <c r="J59" i="60"/>
  <c r="L59" i="60"/>
  <c r="M59" i="60" s="1"/>
  <c r="P59" i="60"/>
  <c r="Q59" i="60"/>
  <c r="R59" i="60"/>
  <c r="J60" i="60"/>
  <c r="P60" i="60"/>
  <c r="Q60" i="60"/>
  <c r="R60" i="60"/>
  <c r="J61" i="60"/>
  <c r="P61" i="60"/>
  <c r="Q61" i="60"/>
  <c r="R61" i="60"/>
  <c r="J62" i="60"/>
  <c r="L62" i="60"/>
  <c r="M62" i="60" s="1"/>
  <c r="P62" i="60"/>
  <c r="Q62" i="60"/>
  <c r="R62" i="60"/>
  <c r="J63" i="60"/>
  <c r="L63" i="60"/>
  <c r="M63" i="60" s="1"/>
  <c r="P63" i="60"/>
  <c r="Q63" i="60"/>
  <c r="R63" i="60"/>
  <c r="J64" i="60"/>
  <c r="P64" i="60"/>
  <c r="Q64" i="60"/>
  <c r="R64" i="60"/>
  <c r="J65" i="60"/>
  <c r="L65" i="60"/>
  <c r="M65" i="60" s="1"/>
  <c r="P65" i="60"/>
  <c r="Q65" i="60"/>
  <c r="R65" i="60"/>
  <c r="J66" i="60"/>
  <c r="L66" i="60"/>
  <c r="M66" i="60" s="1"/>
  <c r="P66" i="60"/>
  <c r="Q66" i="60"/>
  <c r="R66" i="60"/>
  <c r="J67" i="60"/>
  <c r="L67" i="60"/>
  <c r="M67" i="60" s="1"/>
  <c r="P67" i="60"/>
  <c r="Q67" i="60"/>
  <c r="R67" i="60"/>
  <c r="J68" i="60"/>
  <c r="P68" i="60"/>
  <c r="Q68" i="60"/>
  <c r="R68" i="60"/>
  <c r="J69" i="60"/>
  <c r="P69" i="60"/>
  <c r="Q69" i="60"/>
  <c r="R69" i="60"/>
  <c r="J70" i="60"/>
  <c r="L70" i="60"/>
  <c r="M70" i="60" s="1"/>
  <c r="P70" i="60"/>
  <c r="Q70" i="60"/>
  <c r="R70" i="60"/>
  <c r="J71" i="60"/>
  <c r="P71" i="60"/>
  <c r="Q71" i="60"/>
  <c r="R71" i="60"/>
  <c r="J72" i="60"/>
  <c r="L72" i="60"/>
  <c r="M72" i="60" s="1"/>
  <c r="P72" i="60"/>
  <c r="Q72" i="60"/>
  <c r="R72" i="60"/>
  <c r="J73" i="60"/>
  <c r="L73" i="60"/>
  <c r="M73" i="60" s="1"/>
  <c r="P73" i="60"/>
  <c r="Q73" i="60"/>
  <c r="R73" i="60"/>
  <c r="J74" i="60"/>
  <c r="L74" i="60"/>
  <c r="M74" i="60" s="1"/>
  <c r="P74" i="60"/>
  <c r="Q74" i="60"/>
  <c r="R74" i="60"/>
  <c r="J75" i="60"/>
  <c r="L75" i="60"/>
  <c r="M75" i="60" s="1"/>
  <c r="P75" i="60"/>
  <c r="Q75" i="60"/>
  <c r="R75" i="60"/>
  <c r="J76" i="60"/>
  <c r="P76" i="60"/>
  <c r="Q76" i="60"/>
  <c r="R76" i="60"/>
  <c r="J77" i="60"/>
  <c r="P77" i="60"/>
  <c r="Q77" i="60"/>
  <c r="R77" i="60"/>
  <c r="J78" i="60"/>
  <c r="P78" i="60"/>
  <c r="Q78" i="60"/>
  <c r="R78" i="60"/>
  <c r="J79" i="60"/>
  <c r="L79" i="60"/>
  <c r="M79" i="60" s="1"/>
  <c r="P79" i="60"/>
  <c r="Q79" i="60"/>
  <c r="R79" i="60"/>
  <c r="J80" i="60"/>
  <c r="L80" i="60"/>
  <c r="M80" i="60" s="1"/>
  <c r="P80" i="60"/>
  <c r="Q80" i="60"/>
  <c r="R80" i="60"/>
  <c r="J81" i="60"/>
  <c r="L81" i="60"/>
  <c r="M81" i="60" s="1"/>
  <c r="P81" i="60"/>
  <c r="Q81" i="60"/>
  <c r="R81" i="60"/>
  <c r="J82" i="60"/>
  <c r="L82" i="60"/>
  <c r="M82" i="60" s="1"/>
  <c r="P82" i="60"/>
  <c r="Q82" i="60"/>
  <c r="R82" i="60"/>
  <c r="J83" i="60"/>
  <c r="L83" i="60"/>
  <c r="M83" i="60" s="1"/>
  <c r="P83" i="60"/>
  <c r="Q83" i="60"/>
  <c r="R83" i="60"/>
  <c r="J84" i="60"/>
  <c r="P84" i="60"/>
  <c r="Q84" i="60"/>
  <c r="R84" i="60"/>
  <c r="J85" i="60"/>
  <c r="P85" i="60"/>
  <c r="Q85" i="60"/>
  <c r="R85" i="60"/>
  <c r="J86" i="60"/>
  <c r="L86" i="60"/>
  <c r="M86" i="60" s="1"/>
  <c r="P86" i="60"/>
  <c r="Q86" i="60"/>
  <c r="R86" i="60"/>
  <c r="J87" i="60"/>
  <c r="L87" i="60"/>
  <c r="M87" i="60" s="1"/>
  <c r="P87" i="60"/>
  <c r="Q87" i="60"/>
  <c r="R87" i="60"/>
  <c r="J88" i="60"/>
  <c r="L88" i="60"/>
  <c r="M88" i="60" s="1"/>
  <c r="P88" i="60"/>
  <c r="Q88" i="60"/>
  <c r="R88" i="60"/>
  <c r="J89" i="60"/>
  <c r="L89" i="60"/>
  <c r="M89" i="60" s="1"/>
  <c r="P89" i="60"/>
  <c r="Q89" i="60"/>
  <c r="R89" i="60"/>
  <c r="J90" i="60"/>
  <c r="L90" i="60"/>
  <c r="M90" i="60" s="1"/>
  <c r="P90" i="60"/>
  <c r="Q90" i="60"/>
  <c r="R90" i="60"/>
  <c r="J91" i="60"/>
  <c r="L91" i="60"/>
  <c r="M91" i="60" s="1"/>
  <c r="P91" i="60"/>
  <c r="Q91" i="60"/>
  <c r="R91" i="60"/>
  <c r="J92" i="60"/>
  <c r="L92" i="60"/>
  <c r="M92" i="60" s="1"/>
  <c r="P92" i="60"/>
  <c r="Q92" i="60"/>
  <c r="R92" i="60"/>
  <c r="J93" i="60"/>
  <c r="L93" i="60"/>
  <c r="M93" i="60" s="1"/>
  <c r="P93" i="60"/>
  <c r="Q93" i="60"/>
  <c r="R93" i="60"/>
  <c r="J94" i="60"/>
  <c r="L94" i="60"/>
  <c r="M94" i="60" s="1"/>
  <c r="P94" i="60"/>
  <c r="Q94" i="60"/>
  <c r="R94" i="60"/>
  <c r="J95" i="60"/>
  <c r="L95" i="60"/>
  <c r="M95" i="60" s="1"/>
  <c r="P95" i="60"/>
  <c r="Q95" i="60"/>
  <c r="R95" i="60"/>
  <c r="J96" i="60"/>
  <c r="L96" i="60"/>
  <c r="M96" i="60" s="1"/>
  <c r="P96" i="60"/>
  <c r="Q96" i="60"/>
  <c r="R96" i="60"/>
  <c r="J97" i="60"/>
  <c r="L97" i="60"/>
  <c r="M97" i="60" s="1"/>
  <c r="P97" i="60"/>
  <c r="Q97" i="60"/>
  <c r="R97" i="60"/>
  <c r="J98" i="60"/>
  <c r="L98" i="60"/>
  <c r="M98" i="60" s="1"/>
  <c r="P98" i="60"/>
  <c r="Q98" i="60"/>
  <c r="R98" i="60"/>
  <c r="J99" i="60"/>
  <c r="L99" i="60"/>
  <c r="M99" i="60" s="1"/>
  <c r="P99" i="60"/>
  <c r="Q99" i="60"/>
  <c r="R99" i="60"/>
  <c r="J100" i="60"/>
  <c r="L100" i="60"/>
  <c r="M100" i="60" s="1"/>
  <c r="P100" i="60"/>
  <c r="Q100" i="60"/>
  <c r="R100" i="60"/>
  <c r="J101" i="60"/>
  <c r="L101" i="60"/>
  <c r="M101" i="60" s="1"/>
  <c r="P101" i="60"/>
  <c r="Q101" i="60"/>
  <c r="R101" i="60"/>
  <c r="J102" i="60"/>
  <c r="L102" i="60"/>
  <c r="M102" i="60" s="1"/>
  <c r="P102" i="60"/>
  <c r="Q102" i="60"/>
  <c r="R102" i="60"/>
  <c r="J103" i="60"/>
  <c r="L103" i="60"/>
  <c r="M103" i="60" s="1"/>
  <c r="P103" i="60"/>
  <c r="Q103" i="60"/>
  <c r="R103" i="60"/>
  <c r="J104" i="60"/>
  <c r="L104" i="60"/>
  <c r="M104" i="60" s="1"/>
  <c r="P104" i="60"/>
  <c r="Q104" i="60"/>
  <c r="R104" i="60"/>
  <c r="J105" i="60"/>
  <c r="L105" i="60"/>
  <c r="M105" i="60" s="1"/>
  <c r="P105" i="60"/>
  <c r="Q105" i="60"/>
  <c r="R105" i="60"/>
  <c r="J106" i="60"/>
  <c r="L106" i="60"/>
  <c r="M106" i="60" s="1"/>
  <c r="P106" i="60"/>
  <c r="Q106" i="60"/>
  <c r="R106" i="60"/>
  <c r="J107" i="60"/>
  <c r="L107" i="60"/>
  <c r="M107" i="60" s="1"/>
  <c r="P107" i="60"/>
  <c r="Q107" i="60"/>
  <c r="R107" i="60"/>
  <c r="J108" i="60"/>
  <c r="L108" i="60"/>
  <c r="M108" i="60" s="1"/>
  <c r="P108" i="60"/>
  <c r="Q108" i="60"/>
  <c r="R108" i="60"/>
  <c r="J109" i="60"/>
  <c r="L109" i="60"/>
  <c r="M109" i="60" s="1"/>
  <c r="P109" i="60"/>
  <c r="Q109" i="60"/>
  <c r="R109" i="60"/>
  <c r="J110" i="60"/>
  <c r="L110" i="60"/>
  <c r="M110" i="60" s="1"/>
  <c r="P110" i="60"/>
  <c r="Q110" i="60"/>
  <c r="R110" i="60"/>
  <c r="J111" i="60"/>
  <c r="L111" i="60"/>
  <c r="M111" i="60" s="1"/>
  <c r="P111" i="60"/>
  <c r="Q111" i="60"/>
  <c r="R111" i="60"/>
  <c r="J112" i="60"/>
  <c r="L112" i="60"/>
  <c r="M112" i="60" s="1"/>
  <c r="P112" i="60"/>
  <c r="Q112" i="60"/>
  <c r="R112" i="60"/>
  <c r="J113" i="60"/>
  <c r="L113" i="60"/>
  <c r="M113" i="60" s="1"/>
  <c r="P113" i="60"/>
  <c r="Q113" i="60"/>
  <c r="R113" i="60"/>
  <c r="J114" i="60"/>
  <c r="L114" i="60"/>
  <c r="M114" i="60" s="1"/>
  <c r="P114" i="60"/>
  <c r="Q114" i="60"/>
  <c r="R114" i="60"/>
  <c r="J115" i="60"/>
  <c r="L115" i="60"/>
  <c r="M115" i="60" s="1"/>
  <c r="P115" i="60"/>
  <c r="Q115" i="60"/>
  <c r="R115" i="60"/>
  <c r="J116" i="60"/>
  <c r="L116" i="60"/>
  <c r="M116" i="60" s="1"/>
  <c r="P116" i="60"/>
  <c r="Q116" i="60"/>
  <c r="R116" i="60"/>
  <c r="J117" i="60"/>
  <c r="L117" i="60"/>
  <c r="M117" i="60" s="1"/>
  <c r="P117" i="60"/>
  <c r="Q117" i="60"/>
  <c r="R117" i="60"/>
  <c r="J118" i="60"/>
  <c r="L118" i="60"/>
  <c r="M118" i="60" s="1"/>
  <c r="P118" i="60"/>
  <c r="Q118" i="60"/>
  <c r="R118" i="60"/>
  <c r="J119" i="60"/>
  <c r="L119" i="60"/>
  <c r="M119" i="60" s="1"/>
  <c r="P119" i="60"/>
  <c r="Q119" i="60"/>
  <c r="R119" i="60"/>
  <c r="J120" i="60"/>
  <c r="L120" i="60"/>
  <c r="M120" i="60" s="1"/>
  <c r="P120" i="60"/>
  <c r="Q120" i="60"/>
  <c r="R120" i="60"/>
  <c r="J121" i="60"/>
  <c r="L121" i="60"/>
  <c r="M121" i="60" s="1"/>
  <c r="P121" i="60"/>
  <c r="Q121" i="60"/>
  <c r="R121" i="60"/>
  <c r="J122" i="60"/>
  <c r="L122" i="60"/>
  <c r="M122" i="60" s="1"/>
  <c r="P122" i="60"/>
  <c r="Q122" i="60"/>
  <c r="R122" i="60"/>
  <c r="J123" i="60"/>
  <c r="L123" i="60"/>
  <c r="M123" i="60" s="1"/>
  <c r="P123" i="60"/>
  <c r="Q123" i="60"/>
  <c r="R123" i="60"/>
  <c r="J124" i="60"/>
  <c r="L124" i="60"/>
  <c r="M124" i="60" s="1"/>
  <c r="P124" i="60"/>
  <c r="Q124" i="60"/>
  <c r="R124" i="60"/>
  <c r="J125" i="60"/>
  <c r="L125" i="60"/>
  <c r="M125" i="60" s="1"/>
  <c r="P125" i="60"/>
  <c r="Q125" i="60"/>
  <c r="R125" i="60"/>
  <c r="J126" i="60"/>
  <c r="L126" i="60"/>
  <c r="M126" i="60" s="1"/>
  <c r="P126" i="60"/>
  <c r="Q126" i="60"/>
  <c r="R126" i="60"/>
  <c r="J127" i="60"/>
  <c r="L127" i="60"/>
  <c r="M127" i="60" s="1"/>
  <c r="P127" i="60"/>
  <c r="Q127" i="60"/>
  <c r="R127" i="60"/>
  <c r="J128" i="60"/>
  <c r="L128" i="60"/>
  <c r="M128" i="60" s="1"/>
  <c r="P128" i="60"/>
  <c r="Q128" i="60"/>
  <c r="R128" i="60"/>
  <c r="J129" i="60"/>
  <c r="L129" i="60"/>
  <c r="M129" i="60" s="1"/>
  <c r="P129" i="60"/>
  <c r="Q129" i="60"/>
  <c r="R129" i="60"/>
  <c r="J130" i="60"/>
  <c r="L130" i="60"/>
  <c r="M130" i="60" s="1"/>
  <c r="P130" i="60"/>
  <c r="Q130" i="60"/>
  <c r="R130" i="60"/>
  <c r="J131" i="60"/>
  <c r="L131" i="60"/>
  <c r="M131" i="60" s="1"/>
  <c r="P131" i="60"/>
  <c r="Q131" i="60"/>
  <c r="R131" i="60"/>
  <c r="J132" i="60"/>
  <c r="L132" i="60"/>
  <c r="M132" i="60" s="1"/>
  <c r="P132" i="60"/>
  <c r="Q132" i="60"/>
  <c r="R132" i="60"/>
  <c r="J133" i="60"/>
  <c r="L133" i="60"/>
  <c r="M133" i="60" s="1"/>
  <c r="P133" i="60"/>
  <c r="Q133" i="60"/>
  <c r="R133" i="60"/>
  <c r="J134" i="60"/>
  <c r="L134" i="60"/>
  <c r="M134" i="60" s="1"/>
  <c r="P134" i="60"/>
  <c r="Q134" i="60"/>
  <c r="R134" i="60"/>
  <c r="J135" i="60"/>
  <c r="L135" i="60"/>
  <c r="M135" i="60" s="1"/>
  <c r="P135" i="60"/>
  <c r="Q135" i="60"/>
  <c r="R135" i="60"/>
  <c r="J136" i="60"/>
  <c r="L136" i="60"/>
  <c r="M136" i="60" s="1"/>
  <c r="P136" i="60"/>
  <c r="Q136" i="60"/>
  <c r="R136" i="60"/>
  <c r="J137" i="60"/>
  <c r="L137" i="60"/>
  <c r="M137" i="60" s="1"/>
  <c r="P137" i="60"/>
  <c r="Q137" i="60"/>
  <c r="R137" i="60"/>
  <c r="J138" i="60"/>
  <c r="L138" i="60"/>
  <c r="M138" i="60" s="1"/>
  <c r="P138" i="60"/>
  <c r="Q138" i="60"/>
  <c r="R138" i="60"/>
  <c r="J139" i="60"/>
  <c r="L139" i="60"/>
  <c r="M139" i="60" s="1"/>
  <c r="P139" i="60"/>
  <c r="Q139" i="60"/>
  <c r="R139" i="60"/>
  <c r="J140" i="60"/>
  <c r="L140" i="60"/>
  <c r="M140" i="60" s="1"/>
  <c r="P140" i="60"/>
  <c r="Q140" i="60"/>
  <c r="R140" i="60"/>
  <c r="J141" i="60"/>
  <c r="L141" i="60"/>
  <c r="M141" i="60" s="1"/>
  <c r="P141" i="60"/>
  <c r="Q141" i="60"/>
  <c r="R141" i="60"/>
  <c r="J142" i="60"/>
  <c r="L142" i="60"/>
  <c r="M142" i="60" s="1"/>
  <c r="P142" i="60"/>
  <c r="Q142" i="60"/>
  <c r="R142" i="60"/>
  <c r="J143" i="60"/>
  <c r="L143" i="60"/>
  <c r="M143" i="60" s="1"/>
  <c r="P143" i="60"/>
  <c r="Q143" i="60"/>
  <c r="R143" i="60"/>
  <c r="J144" i="60"/>
  <c r="L144" i="60"/>
  <c r="M144" i="60" s="1"/>
  <c r="P144" i="60"/>
  <c r="Q144" i="60"/>
  <c r="R144" i="60"/>
  <c r="J145" i="60"/>
  <c r="L145" i="60"/>
  <c r="M145" i="60" s="1"/>
  <c r="P145" i="60"/>
  <c r="Q145" i="60"/>
  <c r="R145" i="60"/>
  <c r="J146" i="60"/>
  <c r="L146" i="60"/>
  <c r="M146" i="60" s="1"/>
  <c r="P146" i="60"/>
  <c r="Q146" i="60"/>
  <c r="R146" i="60"/>
  <c r="J147" i="60"/>
  <c r="L147" i="60"/>
  <c r="M147" i="60" s="1"/>
  <c r="P147" i="60"/>
  <c r="Q147" i="60"/>
  <c r="R147" i="60"/>
  <c r="J148" i="60"/>
  <c r="L148" i="60"/>
  <c r="M148" i="60" s="1"/>
  <c r="P148" i="60"/>
  <c r="Q148" i="60"/>
  <c r="R148" i="60"/>
  <c r="J149" i="60"/>
  <c r="L149" i="60"/>
  <c r="M149" i="60" s="1"/>
  <c r="P149" i="60"/>
  <c r="Q149" i="60"/>
  <c r="R149" i="60"/>
  <c r="J150" i="60"/>
  <c r="L150" i="60"/>
  <c r="M150" i="60" s="1"/>
  <c r="P150" i="60"/>
  <c r="Q150" i="60"/>
  <c r="R150" i="60"/>
  <c r="J151" i="60"/>
  <c r="L151" i="60"/>
  <c r="M151" i="60" s="1"/>
  <c r="P151" i="60"/>
  <c r="Q151" i="60"/>
  <c r="R151" i="60"/>
  <c r="J152" i="60"/>
  <c r="L152" i="60"/>
  <c r="M152" i="60" s="1"/>
  <c r="P152" i="60"/>
  <c r="Q152" i="60"/>
  <c r="R152" i="60"/>
  <c r="J153" i="60"/>
  <c r="L153" i="60"/>
  <c r="M153" i="60" s="1"/>
  <c r="P153" i="60"/>
  <c r="Q153" i="60"/>
  <c r="R153" i="60"/>
  <c r="J154" i="60"/>
  <c r="L154" i="60"/>
  <c r="M154" i="60" s="1"/>
  <c r="P154" i="60"/>
  <c r="Q154" i="60"/>
  <c r="R154" i="60"/>
  <c r="J155" i="60"/>
  <c r="L155" i="60"/>
  <c r="M155" i="60" s="1"/>
  <c r="P155" i="60"/>
  <c r="Q155" i="60"/>
  <c r="R155" i="60"/>
  <c r="J156" i="60"/>
  <c r="L156" i="60"/>
  <c r="M156" i="60" s="1"/>
  <c r="P156" i="60"/>
  <c r="Q156" i="60"/>
  <c r="R156" i="60"/>
  <c r="J157" i="60"/>
  <c r="L157" i="60"/>
  <c r="M157" i="60" s="1"/>
  <c r="P157" i="60"/>
  <c r="Q157" i="60"/>
  <c r="R157" i="60"/>
  <c r="J158" i="60"/>
  <c r="L158" i="60"/>
  <c r="M158" i="60" s="1"/>
  <c r="P158" i="60"/>
  <c r="Q158" i="60"/>
  <c r="R158" i="60"/>
  <c r="J159" i="60"/>
  <c r="L159" i="60"/>
  <c r="M159" i="60" s="1"/>
  <c r="P159" i="60"/>
  <c r="Q159" i="60"/>
  <c r="R159" i="60"/>
  <c r="J160" i="60"/>
  <c r="L160" i="60"/>
  <c r="M160" i="60" s="1"/>
  <c r="P160" i="60"/>
  <c r="Q160" i="60"/>
  <c r="R160" i="60"/>
  <c r="J161" i="60"/>
  <c r="L161" i="60"/>
  <c r="M161" i="60" s="1"/>
  <c r="P161" i="60"/>
  <c r="Q161" i="60"/>
  <c r="R161" i="60"/>
  <c r="J162" i="60"/>
  <c r="L162" i="60"/>
  <c r="M162" i="60" s="1"/>
  <c r="P162" i="60"/>
  <c r="Q162" i="60"/>
  <c r="R162" i="60"/>
  <c r="J163" i="60"/>
  <c r="L163" i="60"/>
  <c r="M163" i="60" s="1"/>
  <c r="P163" i="60"/>
  <c r="Q163" i="60"/>
  <c r="R163" i="60"/>
  <c r="J164" i="60"/>
  <c r="L164" i="60"/>
  <c r="M164" i="60" s="1"/>
  <c r="P164" i="60"/>
  <c r="Q164" i="60"/>
  <c r="R164" i="60"/>
  <c r="J165" i="60"/>
  <c r="L165" i="60"/>
  <c r="M165" i="60" s="1"/>
  <c r="P165" i="60"/>
  <c r="Q165" i="60"/>
  <c r="R165" i="60"/>
  <c r="J166" i="60"/>
  <c r="L166" i="60"/>
  <c r="M166" i="60" s="1"/>
  <c r="P166" i="60"/>
  <c r="Q166" i="60"/>
  <c r="R166" i="60"/>
  <c r="J167" i="60"/>
  <c r="L167" i="60"/>
  <c r="M167" i="60" s="1"/>
  <c r="P167" i="60"/>
  <c r="Q167" i="60"/>
  <c r="R167" i="60"/>
  <c r="J168" i="60"/>
  <c r="L168" i="60"/>
  <c r="M168" i="60" s="1"/>
  <c r="P168" i="60"/>
  <c r="Q168" i="60"/>
  <c r="R168" i="60"/>
  <c r="J169" i="60"/>
  <c r="L169" i="60"/>
  <c r="M169" i="60" s="1"/>
  <c r="P169" i="60"/>
  <c r="Q169" i="60"/>
  <c r="R169" i="60"/>
  <c r="J170" i="60"/>
  <c r="L170" i="60"/>
  <c r="M170" i="60" s="1"/>
  <c r="P170" i="60"/>
  <c r="Q170" i="60"/>
  <c r="R170" i="60"/>
  <c r="J171" i="60"/>
  <c r="L171" i="60"/>
  <c r="M171" i="60" s="1"/>
  <c r="P171" i="60"/>
  <c r="Q171" i="60"/>
  <c r="R171" i="60"/>
  <c r="J7" i="60"/>
  <c r="L7" i="60"/>
  <c r="M7" i="60" s="1"/>
  <c r="P7" i="60"/>
  <c r="Q7" i="60"/>
  <c r="R7" i="60"/>
  <c r="J8" i="60"/>
  <c r="P8" i="60"/>
  <c r="Q8" i="60"/>
  <c r="R8" i="60"/>
  <c r="J9" i="60"/>
  <c r="P9" i="60"/>
  <c r="Q9" i="60"/>
  <c r="R9" i="60"/>
  <c r="J10" i="60"/>
  <c r="L10" i="60"/>
  <c r="M10" i="60" s="1"/>
  <c r="P10" i="60"/>
  <c r="Q10" i="60"/>
  <c r="R10" i="60"/>
  <c r="J11" i="60"/>
  <c r="L11" i="60"/>
  <c r="M11" i="60" s="1"/>
  <c r="P11" i="60"/>
  <c r="Q11" i="60"/>
  <c r="R11" i="60"/>
  <c r="J12" i="60"/>
  <c r="L12" i="60"/>
  <c r="M12" i="60" s="1"/>
  <c r="P12" i="60"/>
  <c r="Q12" i="60"/>
  <c r="R12" i="60"/>
  <c r="J13" i="60"/>
  <c r="L13" i="60"/>
  <c r="M13" i="60" s="1"/>
  <c r="P13" i="60"/>
  <c r="Q13" i="60"/>
  <c r="R13" i="60"/>
  <c r="J14" i="60"/>
  <c r="L14" i="60"/>
  <c r="M14" i="60" s="1"/>
  <c r="P14" i="60"/>
  <c r="Q14" i="60"/>
  <c r="R14" i="60"/>
  <c r="J15" i="60"/>
  <c r="P15" i="60"/>
  <c r="Q15" i="60"/>
  <c r="R15" i="60"/>
  <c r="R174" i="60" l="1"/>
  <c r="Q174" i="60"/>
  <c r="P174" i="60"/>
  <c r="L174" i="60"/>
  <c r="M174" i="60" s="1"/>
  <c r="J174" i="60"/>
  <c r="J172" i="60"/>
  <c r="L172" i="60"/>
  <c r="M172" i="60" s="1"/>
  <c r="P172" i="60"/>
  <c r="Q172" i="60"/>
  <c r="R172" i="60"/>
  <c r="J173" i="60"/>
  <c r="L173" i="60"/>
  <c r="M173" i="60" s="1"/>
  <c r="P173" i="60"/>
  <c r="Q173" i="60"/>
  <c r="R173" i="60"/>
  <c r="J175" i="60"/>
  <c r="L175" i="60"/>
  <c r="M175" i="60" s="1"/>
  <c r="P175" i="60"/>
  <c r="Q175" i="60"/>
  <c r="R175" i="60"/>
  <c r="R6" i="60" l="1"/>
  <c r="Q6" i="60"/>
  <c r="P6" i="60"/>
  <c r="L6" i="60"/>
  <c r="M6" i="60" s="1"/>
  <c r="J6" i="6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pc1</author>
  </authors>
  <commentList>
    <comment ref="F1" authorId="0" shapeId="0" xr:uid="{00000000-0006-0000-0300-000001000000}">
      <text>
        <r>
          <rPr>
            <sz val="9"/>
            <color indexed="81"/>
            <rFont val="돋움"/>
            <family val="3"/>
            <charset val="129"/>
          </rPr>
          <t>실상품의 규격
예)비타민워터50ml 2입 →50ml*2</t>
        </r>
      </text>
    </comment>
  </commentList>
</comments>
</file>

<file path=xl/sharedStrings.xml><?xml version="1.0" encoding="utf-8"?>
<sst xmlns="http://schemas.openxmlformats.org/spreadsheetml/2006/main" count="221" uniqueCount="140">
  <si>
    <t>작성일자</t>
  </si>
  <si>
    <t>원가지준 : 단위 (원)</t>
  </si>
  <si>
    <t>문서명</t>
  </si>
  <si>
    <t>문서번호</t>
  </si>
  <si>
    <t>주문구분</t>
  </si>
  <si>
    <t>송신자</t>
  </si>
  <si>
    <t>주문일</t>
  </si>
  <si>
    <t>점포(센터)</t>
  </si>
  <si>
    <t>아이템갯수</t>
  </si>
  <si>
    <t>납품일</t>
  </si>
  <si>
    <t>센터입하일</t>
  </si>
  <si>
    <t>ORDERS</t>
  </si>
  <si>
    <t>통상</t>
  </si>
  <si>
    <t>(주)코리아세븐</t>
  </si>
  <si>
    <t>상품코드</t>
  </si>
  <si>
    <t>판매코드</t>
  </si>
  <si>
    <t>상품명</t>
  </si>
  <si>
    <t>점포명</t>
  </si>
  <si>
    <t>규격</t>
  </si>
  <si>
    <t>입수</t>
  </si>
  <si>
    <t>주문수</t>
  </si>
  <si>
    <t>단가</t>
  </si>
  <si>
    <t>주문금액</t>
  </si>
  <si>
    <t>20004(양산물류)</t>
  </si>
  <si>
    <t>합계</t>
  </si>
  <si>
    <t>20050((주)코리아세븐 세종상온센터)</t>
  </si>
  <si>
    <t>바코드</t>
    <phoneticPr fontId="26" type="noConversion"/>
  </si>
  <si>
    <t>제품코드</t>
    <phoneticPr fontId="26" type="noConversion"/>
  </si>
  <si>
    <t>상품명</t>
    <phoneticPr fontId="26" type="noConversion"/>
  </si>
  <si>
    <t>상품단축명</t>
    <phoneticPr fontId="26" type="noConversion"/>
  </si>
  <si>
    <t>과세구분</t>
  </si>
  <si>
    <t>가로(mm)</t>
    <phoneticPr fontId="26" type="noConversion"/>
  </si>
  <si>
    <t>세로(mm)</t>
    <phoneticPr fontId="26" type="noConversion"/>
  </si>
  <si>
    <t>깊이(mm)</t>
    <phoneticPr fontId="26" type="noConversion"/>
  </si>
  <si>
    <t>중량(g)</t>
    <phoneticPr fontId="26" type="noConversion"/>
  </si>
  <si>
    <t>원산지코드</t>
  </si>
  <si>
    <t>원가</t>
  </si>
  <si>
    <t>매가</t>
  </si>
  <si>
    <t>발주단위</t>
  </si>
  <si>
    <t>입수</t>
    <phoneticPr fontId="26" type="noConversion"/>
  </si>
  <si>
    <t>브랜드명</t>
    <phoneticPr fontId="26" type="noConversion"/>
  </si>
  <si>
    <t>ME00421300</t>
    <phoneticPr fontId="26" type="noConversion"/>
  </si>
  <si>
    <t>스프레이 익스트림</t>
    <phoneticPr fontId="26" type="noConversion"/>
  </si>
  <si>
    <t>과세</t>
  </si>
  <si>
    <t>180ml</t>
  </si>
  <si>
    <t>180g</t>
    <phoneticPr fontId="26" type="noConversion"/>
  </si>
  <si>
    <t>KR</t>
  </si>
  <si>
    <t>EA</t>
  </si>
  <si>
    <t>멘소래담</t>
    <phoneticPr fontId="26" type="noConversion"/>
  </si>
  <si>
    <t>스프레이 파스</t>
    <phoneticPr fontId="26" type="noConversion"/>
  </si>
  <si>
    <t>맨소래담 딥앤쿨 스프레이 150ml*16입</t>
  </si>
  <si>
    <t>딥앤쿨 스프레이</t>
    <phoneticPr fontId="26" type="noConversion"/>
  </si>
  <si>
    <t>ME80421DR3</t>
  </si>
  <si>
    <t>멘소)멘소래담롤온로션</t>
  </si>
  <si>
    <t>멘소래담 롤온로션</t>
    <phoneticPr fontId="26" type="noConversion"/>
  </si>
  <si>
    <t>EA</t>
    <phoneticPr fontId="26" type="noConversion"/>
  </si>
  <si>
    <t>점포명</t>
    <phoneticPr fontId="26" type="noConversion"/>
  </si>
  <si>
    <t>점포코드</t>
    <phoneticPr fontId="26" type="noConversion"/>
  </si>
  <si>
    <t>bill to 고정</t>
    <phoneticPr fontId="26" type="noConversion"/>
  </si>
  <si>
    <t>신갈센터</t>
  </si>
  <si>
    <t>20006(성남물류)</t>
  </si>
  <si>
    <t>20034(구성물류)</t>
  </si>
  <si>
    <t>20019(광주상온센타)</t>
  </si>
  <si>
    <t>20007(대구물류)</t>
  </si>
  <si>
    <t>20010(양주물류)</t>
  </si>
  <si>
    <t>20017(언양상온센터(K7))</t>
  </si>
  <si>
    <t>20029(N경인화성상온센터(K7))</t>
  </si>
  <si>
    <t>20033(제주상온센터)</t>
  </si>
  <si>
    <t>20049((주)코리아세븐 서이천상온센터)</t>
  </si>
  <si>
    <t>청원상온센터</t>
  </si>
  <si>
    <t>20049(서이천상온센터)</t>
  </si>
  <si>
    <t>20065((주)코리아세븐 원주상온센터)</t>
  </si>
  <si>
    <t>20050(세종상온센터)</t>
  </si>
  <si>
    <t>20501((주)바이더웨이 경인센터)</t>
  </si>
  <si>
    <t>20017(울산상온센터(K7))</t>
  </si>
  <si>
    <t>20075((주)코리아세븐 인천상온센터)</t>
  </si>
  <si>
    <t>20075((주)코리아세븐 인천물류센터)</t>
  </si>
  <si>
    <t>20504((주)바이더웨이 울산상온센터)</t>
  </si>
  <si>
    <t>20503((주)바이더웨이 세종센터)</t>
  </si>
  <si>
    <t>20076((주)코리아세븐 의왕상온센터)</t>
  </si>
  <si>
    <t>20079((주)코리아세븐 광주상온센터)</t>
  </si>
  <si>
    <t>20080(A의왕상온센타)</t>
  </si>
  <si>
    <t>점포코드</t>
  </si>
  <si>
    <t>bill to 고정</t>
  </si>
  <si>
    <t>(주)코리아세븐 대전상온센터</t>
  </si>
  <si>
    <t>(주)바이더웨이 일산센터</t>
  </si>
  <si>
    <t>(주)바이더웨이 중부센터</t>
  </si>
  <si>
    <t>(주)바이더웨이 언양센터</t>
  </si>
  <si>
    <t>(주)바이더웨이 잡화센터</t>
  </si>
  <si>
    <t>(주)바이더웨이 광주센터</t>
  </si>
  <si>
    <t>(주)바이더웨이 원주센터</t>
  </si>
  <si>
    <t>20080((주)코리아세븐 의왕상온센터)</t>
  </si>
  <si>
    <t>ME00421185</t>
  </si>
  <si>
    <t>협력업체명</t>
  </si>
  <si>
    <t>맨소래덤아시아퍼시픽 주식회사</t>
  </si>
  <si>
    <t>멘소래담 스프레이 쿨 180mL 16입 (New 2021)</t>
  </si>
  <si>
    <t>MC22-04 로 츨고</t>
    <phoneticPr fontId="23" type="noConversion"/>
  </si>
  <si>
    <t>발주처코드</t>
  </si>
  <si>
    <t>배송코드</t>
  </si>
  <si>
    <t>UNIT단가</t>
  </si>
  <si>
    <t>금       액</t>
  </si>
  <si>
    <t>배송지</t>
  </si>
  <si>
    <t>UNIT수량</t>
  </si>
  <si>
    <t>20081((주)코리아세븐 A양산상온센터)</t>
    <phoneticPr fontId="23" type="noConversion"/>
  </si>
  <si>
    <t>20081((주)코리아세븐 양산물류센터)</t>
    <phoneticPr fontId="23" type="noConversion"/>
  </si>
  <si>
    <t>20083((주)코리아세븐 김제상온센터)</t>
  </si>
  <si>
    <t>20085((주)코리아세븐 인천B상온센터)</t>
  </si>
  <si>
    <t>20084((주)코리아세븐 천안상온센터)</t>
  </si>
  <si>
    <t>20091((주)코리아세븐 송파상온센터)</t>
  </si>
  <si>
    <t>20085((주)코리아세븐 인천B상온센터)</t>
    <phoneticPr fontId="23" type="noConversion"/>
  </si>
  <si>
    <t>ME90521L05</t>
  </si>
  <si>
    <t>멘소래담)메디케이티드 립밤</t>
    <phoneticPr fontId="23" type="noConversion"/>
  </si>
  <si>
    <t>메디케이티드 립밤</t>
  </si>
  <si>
    <t>20006((주)코리아세븐 성남물류센터)</t>
  </si>
  <si>
    <t>주문서 리스트</t>
  </si>
  <si>
    <t>20095((주)코리아세븐 청원HUB(A)센터)</t>
    <phoneticPr fontId="23" type="noConversion"/>
  </si>
  <si>
    <t>20096((주)코리아세븐 청원HUB(B)센터)</t>
    <phoneticPr fontId="23" type="noConversion"/>
  </si>
  <si>
    <t>20097((주)코리아세븐 청원HUB(C)센터)</t>
    <phoneticPr fontId="23" type="noConversion"/>
  </si>
  <si>
    <r>
      <t>2009</t>
    </r>
    <r>
      <rPr>
        <sz val="10"/>
        <color theme="1"/>
        <rFont val="맑은 고딕"/>
        <family val="2"/>
        <charset val="129"/>
      </rPr>
      <t>2</t>
    </r>
    <r>
      <rPr>
        <sz val="10"/>
        <color theme="1"/>
        <rFont val="나눔스퀘어라운드 Regular"/>
        <family val="2"/>
        <charset val="129"/>
      </rPr>
      <t xml:space="preserve">((주)코리아세븐 </t>
    </r>
    <r>
      <rPr>
        <sz val="10"/>
        <color theme="1"/>
        <rFont val="새굴림"/>
        <family val="2"/>
        <charset val="129"/>
      </rPr>
      <t>이천</t>
    </r>
    <r>
      <rPr>
        <sz val="10"/>
        <color theme="1"/>
        <rFont val="나눔스퀘어라운드 Regular"/>
        <family val="2"/>
        <charset val="129"/>
      </rPr>
      <t>HUB(A)센터)</t>
    </r>
    <phoneticPr fontId="23" type="noConversion"/>
  </si>
  <si>
    <r>
      <t>2009</t>
    </r>
    <r>
      <rPr>
        <sz val="10"/>
        <color theme="1"/>
        <rFont val="새굴림"/>
        <family val="2"/>
        <charset val="129"/>
      </rPr>
      <t>4</t>
    </r>
    <r>
      <rPr>
        <sz val="10"/>
        <color theme="1"/>
        <rFont val="나눔스퀘어라운드 Regular"/>
        <family val="2"/>
        <charset val="129"/>
      </rPr>
      <t xml:space="preserve">((주)코리아세븐 </t>
    </r>
    <r>
      <rPr>
        <sz val="10"/>
        <color theme="1"/>
        <rFont val="새굴림"/>
        <family val="2"/>
        <charset val="129"/>
      </rPr>
      <t>이천</t>
    </r>
    <r>
      <rPr>
        <sz val="10"/>
        <color theme="1"/>
        <rFont val="나눔스퀘어라운드 Regular"/>
        <family val="2"/>
        <charset val="129"/>
      </rPr>
      <t>HUB(</t>
    </r>
    <r>
      <rPr>
        <sz val="10"/>
        <color theme="1"/>
        <rFont val="새굴림"/>
        <family val="2"/>
        <charset val="129"/>
      </rPr>
      <t>C</t>
    </r>
    <r>
      <rPr>
        <sz val="10"/>
        <color theme="1"/>
        <rFont val="나눔스퀘어라운드 Regular"/>
        <family val="2"/>
        <charset val="129"/>
      </rPr>
      <t>)센터)</t>
    </r>
    <phoneticPr fontId="23" type="noConversion"/>
  </si>
  <si>
    <t>20092((주)코리아세븐 이천HUB(A)센터)</t>
    <phoneticPr fontId="23" type="noConversion"/>
  </si>
  <si>
    <t>20093((주)코리아세븐 이천HUB(B)센터)</t>
    <phoneticPr fontId="23" type="noConversion"/>
  </si>
  <si>
    <t>20033((주)코리아세븐 제주상온센터)</t>
  </si>
  <si>
    <t>20092((주)코리아세븐 이천HUB센터)</t>
  </si>
  <si>
    <t>20093((주)코리아세븐 이천HUB센터)</t>
  </si>
  <si>
    <t>20094((주)코리아세븐 이천HUB센터)</t>
  </si>
  <si>
    <t>20095((주)코리아세븐 청원HUB센터)</t>
  </si>
  <si>
    <t>20096((주)코리아세븐 청원HUB센터)</t>
  </si>
  <si>
    <t>20097((주)코리아세븐 청원HUB센터)</t>
  </si>
  <si>
    <t>ME00421150</t>
    <phoneticPr fontId="23" type="noConversion"/>
  </si>
  <si>
    <t>ME00621PBN</t>
    <phoneticPr fontId="23" type="noConversion"/>
  </si>
  <si>
    <t>아크네스 퍼펙트 솔루션 릴리프 바디 미스트 150ml (24입)</t>
  </si>
  <si>
    <t>ME00621CCP</t>
  </si>
  <si>
    <t>편의점용) 아크네스 퍼펙트 솔루션 스팟패치 18매</t>
  </si>
  <si>
    <t>(주)코리아세븐 이천HUB(B)센터</t>
  </si>
  <si>
    <t>2026-03-24</t>
  </si>
  <si>
    <t>아크네스)퍼펙트솔루션 스팟패치18매_H</t>
  </si>
  <si>
    <t>20093((주)코리아세븐 이천HUB(B)센터)</t>
  </si>
  <si>
    <t>1매</t>
  </si>
  <si>
    <t>2026-03-25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</si>
</sst>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0_ "/>
    <numFmt numFmtId="177" formatCode="_-* #,##0_-;\-* #,##0_-;_-* &quot;-&quot;?_-;_-@_-"/>
    <numFmt numFmtId="178" formatCode="0_);[Red]\(0\)"/>
    <numFmt numFmtId="179" formatCode="#,###"/>
  </numFmts>
  <fonts count="63">
    <font>
      <sz val="10"/>
      <color theme="1"/>
      <name val="나눔스퀘어라운드 Regular"/>
      <family val="2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theme="1"/>
      <name val="나눔스퀘어라운드 Regular"/>
      <family val="2"/>
      <charset val="129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나눔스퀘어라운드 Regular"/>
      <family val="2"/>
      <charset val="129"/>
    </font>
    <font>
      <b/>
      <sz val="13"/>
      <color theme="3"/>
      <name val="나눔스퀘어라운드 Regular"/>
      <family val="2"/>
      <charset val="129"/>
    </font>
    <font>
      <b/>
      <sz val="11"/>
      <color theme="3"/>
      <name val="나눔스퀘어라운드 Regular"/>
      <family val="2"/>
      <charset val="129"/>
    </font>
    <font>
      <sz val="10"/>
      <color rgb="FF006100"/>
      <name val="나눔스퀘어라운드 Regular"/>
      <family val="2"/>
      <charset val="129"/>
    </font>
    <font>
      <sz val="10"/>
      <color rgb="FF9C0006"/>
      <name val="나눔스퀘어라운드 Regular"/>
      <family val="2"/>
      <charset val="129"/>
    </font>
    <font>
      <sz val="10"/>
      <color rgb="FF9C5700"/>
      <name val="나눔스퀘어라운드 Regular"/>
      <family val="2"/>
      <charset val="129"/>
    </font>
    <font>
      <sz val="10"/>
      <color rgb="FF3F3F76"/>
      <name val="나눔스퀘어라운드 Regular"/>
      <family val="2"/>
      <charset val="129"/>
    </font>
    <font>
      <b/>
      <sz val="10"/>
      <color rgb="FF3F3F3F"/>
      <name val="나눔스퀘어라운드 Regular"/>
      <family val="2"/>
      <charset val="129"/>
    </font>
    <font>
      <b/>
      <sz val="10"/>
      <color rgb="FFFA7D00"/>
      <name val="나눔스퀘어라운드 Regular"/>
      <family val="2"/>
      <charset val="129"/>
    </font>
    <font>
      <sz val="10"/>
      <color rgb="FFFA7D00"/>
      <name val="나눔스퀘어라운드 Regular"/>
      <family val="2"/>
      <charset val="129"/>
    </font>
    <font>
      <b/>
      <sz val="10"/>
      <color theme="0"/>
      <name val="나눔스퀘어라운드 Regular"/>
      <family val="2"/>
      <charset val="129"/>
    </font>
    <font>
      <sz val="10"/>
      <color rgb="FFFF0000"/>
      <name val="나눔스퀘어라운드 Regular"/>
      <family val="2"/>
      <charset val="129"/>
    </font>
    <font>
      <i/>
      <sz val="10"/>
      <color rgb="FF7F7F7F"/>
      <name val="나눔스퀘어라운드 Regular"/>
      <family val="2"/>
      <charset val="129"/>
    </font>
    <font>
      <b/>
      <sz val="10"/>
      <color theme="1"/>
      <name val="나눔스퀘어라운드 Regular"/>
      <family val="2"/>
      <charset val="129"/>
    </font>
    <font>
      <sz val="10"/>
      <color theme="0"/>
      <name val="나눔스퀘어라운드 Regular"/>
      <family val="2"/>
      <charset val="129"/>
    </font>
    <font>
      <sz val="10"/>
      <color rgb="FF0081BF"/>
      <name val="나눔스퀘어라운드 Regular"/>
      <family val="2"/>
      <charset val="129"/>
    </font>
    <font>
      <sz val="10"/>
      <color rgb="FF333333"/>
      <name val="돋움"/>
      <family val="3"/>
      <charset val="129"/>
    </font>
    <font>
      <b/>
      <sz val="10"/>
      <color rgb="FFFFFFFF"/>
      <name val="돋움"/>
      <family val="3"/>
      <charset val="129"/>
    </font>
    <font>
      <sz val="8"/>
      <name val="나눔스퀘어라운드 Regular"/>
      <family val="2"/>
      <charset val="129"/>
    </font>
    <font>
      <sz val="11"/>
      <color theme="1"/>
      <name val="맑은 고딕"/>
      <family val="2"/>
      <charset val="129"/>
      <scheme val="minor"/>
    </font>
    <font>
      <sz val="10"/>
      <name val="돋움"/>
      <family val="3"/>
      <charset val="129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name val="돋움"/>
      <family val="3"/>
      <charset val="129"/>
    </font>
    <font>
      <sz val="8"/>
      <color rgb="FF333333"/>
      <name val="돋움"/>
      <family val="3"/>
      <charset val="129"/>
    </font>
    <font>
      <sz val="10"/>
      <color theme="1"/>
      <name val="맑은 고딕"/>
      <family val="2"/>
      <charset val="129"/>
      <scheme val="minor"/>
    </font>
    <font>
      <sz val="9"/>
      <color indexed="81"/>
      <name val="돋움"/>
      <family val="3"/>
      <charset val="129"/>
    </font>
    <font>
      <sz val="9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sz val="9"/>
      <color theme="0"/>
      <name val="나눔스퀘어라운드 Regular"/>
      <family val="3"/>
      <charset val="129"/>
    </font>
    <font>
      <sz val="9"/>
      <color rgb="FFFFFFFF"/>
      <name val="나눔스퀘어라운드 Regular"/>
      <family val="3"/>
      <charset val="129"/>
    </font>
    <font>
      <b/>
      <sz val="10"/>
      <color rgb="FF9C0006"/>
      <name val="나눔스퀘어라운드 Regular"/>
      <family val="3"/>
      <charset val="129"/>
    </font>
    <font>
      <sz val="7"/>
      <color rgb="FF333333"/>
      <name val="돋움"/>
      <family val="3"/>
      <charset val="129"/>
    </font>
    <font>
      <sz val="7"/>
      <color rgb="FF000000"/>
      <name val="맑은 고딕"/>
      <family val="3"/>
      <charset val="129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1"/>
      <color rgb="FF0081BF"/>
      <name val="맑은 고딕"/>
      <family val="2"/>
      <charset val="129"/>
      <scheme val="minor"/>
    </font>
    <font>
      <sz val="10"/>
      <color theme="1"/>
      <name val="새굴림"/>
      <family val="2"/>
      <charset val="129"/>
    </font>
    <font>
      <sz val="10"/>
      <color theme="1"/>
      <name val="맑은 고딕"/>
      <family val="2"/>
      <charset val="129"/>
    </font>
    <font>
      <b/>
      <sz val="11"/>
      <color rgb="FF333333"/>
      <name val="돋움"/>
      <family val="3"/>
      <charset val="129"/>
    </font>
    <font>
      <b/>
      <sz val="8"/>
      <color rgb="FFFFFFFF"/>
      <name val="돋움"/>
      <family val="3"/>
      <charset val="129"/>
    </font>
    <font>
      <sz val="8"/>
      <color rgb="FFFFFFFF"/>
      <name val="돋움"/>
      <family val="3"/>
      <charset val="129"/>
    </font>
    <font>
      <b/>
      <sz val="8"/>
      <color rgb="FF006699"/>
      <name val="돋움"/>
      <family val="3"/>
      <charset val="129"/>
    </font>
    <font>
      <sz val="8"/>
      <color rgb="FF006699"/>
      <name val="돋움"/>
      <family val="3"/>
      <charset val="129"/>
    </font>
  </fonts>
  <fills count="4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2774C9"/>
        <bgColor indexed="64"/>
      </patternFill>
    </fill>
    <fill>
      <patternFill patternType="solid">
        <fgColor rgb="FF42B4D2"/>
        <bgColor indexed="64"/>
      </patternFill>
    </fill>
    <fill>
      <patternFill patternType="solid">
        <fgColor rgb="FFA8DDE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C00000"/>
        <bgColor rgb="FF000000"/>
      </patternFill>
    </fill>
    <fill>
      <patternFill patternType="solid">
        <fgColor rgb="FF1F497D"/>
        <bgColor rgb="FF000000"/>
      </patternFill>
    </fill>
    <fill>
      <patternFill patternType="solid">
        <fgColor theme="4" tint="0.39997558519241921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10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4" fillId="0" borderId="0">
      <alignment vertical="center"/>
    </xf>
    <xf numFmtId="41" fontId="24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40" fillId="0" borderId="1" applyNumberFormat="0" applyFill="0" applyAlignment="0" applyProtection="0">
      <alignment vertical="center"/>
    </xf>
    <xf numFmtId="0" fontId="41" fillId="0" borderId="2" applyNumberFormat="0" applyFill="0" applyAlignment="0" applyProtection="0">
      <alignment vertical="center"/>
    </xf>
    <xf numFmtId="0" fontId="42" fillId="0" borderId="3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2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6" fillId="5" borderId="4" applyNumberFormat="0" applyAlignment="0" applyProtection="0">
      <alignment vertical="center"/>
    </xf>
    <xf numFmtId="0" fontId="47" fillId="6" borderId="5" applyNumberFormat="0" applyAlignment="0" applyProtection="0">
      <alignment vertical="center"/>
    </xf>
    <xf numFmtId="0" fontId="48" fillId="6" borderId="4" applyNumberFormat="0" applyAlignment="0" applyProtection="0">
      <alignment vertical="center"/>
    </xf>
    <xf numFmtId="0" fontId="49" fillId="0" borderId="6" applyNumberFormat="0" applyFill="0" applyAlignment="0" applyProtection="0">
      <alignment vertical="center"/>
    </xf>
    <xf numFmtId="0" fontId="50" fillId="7" borderId="7" applyNumberFormat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3" fillId="0" borderId="9" applyNumberFormat="0" applyFill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54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4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7">
    <xf numFmtId="0" fontId="0" fillId="0" borderId="0" xfId="0">
      <alignment vertical="center"/>
    </xf>
    <xf numFmtId="49" fontId="21" fillId="0" borderId="10" xfId="0" applyNumberFormat="1" applyFont="1" applyBorder="1" applyAlignment="1">
      <alignment vertical="center" wrapText="1"/>
    </xf>
    <xf numFmtId="49" fontId="25" fillId="36" borderId="14" xfId="45" applyNumberFormat="1" applyFont="1" applyFill="1" applyBorder="1" applyAlignment="1">
      <alignment horizontal="center" vertical="center"/>
    </xf>
    <xf numFmtId="0" fontId="25" fillId="36" borderId="14" xfId="45" applyFont="1" applyFill="1" applyBorder="1" applyAlignment="1">
      <alignment horizontal="center" vertical="center"/>
    </xf>
    <xf numFmtId="176" fontId="27" fillId="0" borderId="14" xfId="45" applyNumberFormat="1" applyFont="1" applyBorder="1" applyAlignment="1">
      <alignment horizontal="center" vertical="center"/>
    </xf>
    <xf numFmtId="0" fontId="27" fillId="0" borderId="14" xfId="45" applyFont="1" applyBorder="1">
      <alignment vertical="center"/>
    </xf>
    <xf numFmtId="49" fontId="25" fillId="0" borderId="14" xfId="45" applyNumberFormat="1" applyFont="1" applyBorder="1" applyAlignment="1">
      <alignment horizontal="center" vertical="center"/>
    </xf>
    <xf numFmtId="0" fontId="27" fillId="0" borderId="14" xfId="45" applyFont="1" applyBorder="1" applyAlignment="1">
      <alignment horizontal="center" vertical="center"/>
    </xf>
    <xf numFmtId="177" fontId="28" fillId="37" borderId="14" xfId="45" applyNumberFormat="1" applyFont="1" applyFill="1" applyBorder="1" applyAlignment="1">
      <alignment horizontal="center" vertical="center"/>
    </xf>
    <xf numFmtId="41" fontId="27" fillId="0" borderId="14" xfId="46" applyFont="1" applyBorder="1">
      <alignment vertical="center"/>
    </xf>
    <xf numFmtId="178" fontId="29" fillId="0" borderId="10" xfId="45" applyNumberFormat="1" applyFont="1" applyBorder="1" applyAlignment="1">
      <alignment vertical="center" wrapText="1"/>
    </xf>
    <xf numFmtId="0" fontId="30" fillId="0" borderId="14" xfId="45" applyFont="1" applyBorder="1" applyAlignment="1">
      <alignment horizontal="center" vertical="center"/>
    </xf>
    <xf numFmtId="0" fontId="30" fillId="0" borderId="14" xfId="45" applyFont="1" applyBorder="1">
      <alignment vertical="center"/>
    </xf>
    <xf numFmtId="0" fontId="30" fillId="0" borderId="0" xfId="45" applyFont="1">
      <alignment vertical="center"/>
    </xf>
    <xf numFmtId="3" fontId="30" fillId="0" borderId="0" xfId="45" applyNumberFormat="1" applyFont="1">
      <alignment vertical="center"/>
    </xf>
    <xf numFmtId="178" fontId="25" fillId="36" borderId="14" xfId="45" applyNumberFormat="1" applyFont="1" applyFill="1" applyBorder="1" applyAlignment="1">
      <alignment horizontal="center" vertical="center"/>
    </xf>
    <xf numFmtId="178" fontId="27" fillId="0" borderId="14" xfId="45" applyNumberFormat="1" applyFont="1" applyBorder="1" applyAlignment="1">
      <alignment horizontal="center" vertical="center"/>
    </xf>
    <xf numFmtId="178" fontId="0" fillId="0" borderId="0" xfId="0" applyNumberFormat="1">
      <alignment vertical="center"/>
    </xf>
    <xf numFmtId="49" fontId="32" fillId="36" borderId="14" xfId="45" applyNumberFormat="1" applyFont="1" applyFill="1" applyBorder="1" applyAlignment="1">
      <alignment horizontal="center" vertical="center"/>
    </xf>
    <xf numFmtId="0" fontId="32" fillId="36" borderId="14" xfId="45" applyFont="1" applyFill="1" applyBorder="1" applyAlignment="1">
      <alignment horizontal="center" vertical="center"/>
    </xf>
    <xf numFmtId="0" fontId="33" fillId="38" borderId="14" xfId="45" applyFont="1" applyFill="1" applyBorder="1" applyAlignment="1">
      <alignment horizontal="center" vertical="center"/>
    </xf>
    <xf numFmtId="0" fontId="34" fillId="0" borderId="0" xfId="45" applyFont="1">
      <alignment vertical="center"/>
    </xf>
    <xf numFmtId="49" fontId="21" fillId="0" borderId="0" xfId="0" applyNumberFormat="1" applyFont="1" applyAlignment="1">
      <alignment vertical="center" wrapText="1"/>
    </xf>
    <xf numFmtId="0" fontId="21" fillId="0" borderId="0" xfId="0" applyFont="1">
      <alignment vertical="center"/>
    </xf>
    <xf numFmtId="49" fontId="22" fillId="0" borderId="0" xfId="0" applyNumberFormat="1" applyFont="1" applyAlignment="1">
      <alignment vertical="center" wrapText="1"/>
    </xf>
    <xf numFmtId="0" fontId="33" fillId="0" borderId="14" xfId="45" applyFont="1" applyBorder="1" applyAlignment="1">
      <alignment horizontal="center" vertical="center"/>
    </xf>
    <xf numFmtId="178" fontId="21" fillId="0" borderId="0" xfId="1" applyNumberFormat="1" applyFont="1" applyFill="1" applyBorder="1" applyAlignment="1">
      <alignment vertical="center" wrapText="1"/>
    </xf>
    <xf numFmtId="0" fontId="32" fillId="36" borderId="0" xfId="45" applyFont="1" applyFill="1" applyAlignment="1">
      <alignment horizontal="center" vertical="center"/>
    </xf>
    <xf numFmtId="0" fontId="33" fillId="0" borderId="0" xfId="45" applyFont="1" applyAlignment="1">
      <alignment horizontal="center" vertical="center"/>
    </xf>
    <xf numFmtId="3" fontId="21" fillId="0" borderId="0" xfId="0" applyNumberFormat="1" applyFont="1">
      <alignment vertical="center"/>
    </xf>
    <xf numFmtId="0" fontId="35" fillId="39" borderId="16" xfId="0" applyFont="1" applyFill="1" applyBorder="1" applyAlignment="1">
      <alignment horizontal="center" vertical="center"/>
    </xf>
    <xf numFmtId="0" fontId="36" fillId="40" borderId="16" xfId="0" applyFont="1" applyFill="1" applyBorder="1" applyAlignment="1">
      <alignment horizontal="center" vertical="center"/>
    </xf>
    <xf numFmtId="0" fontId="36" fillId="41" borderId="16" xfId="0" applyFont="1" applyFill="1" applyBorder="1" applyAlignment="1">
      <alignment horizontal="center" vertical="center"/>
    </xf>
    <xf numFmtId="0" fontId="36" fillId="40" borderId="16" xfId="0" applyFont="1" applyFill="1" applyBorder="1" applyAlignment="1">
      <alignment horizontal="left" vertical="center" indent="1"/>
    </xf>
    <xf numFmtId="0" fontId="36" fillId="41" borderId="16" xfId="1" applyNumberFormat="1" applyFont="1" applyFill="1" applyBorder="1" applyAlignment="1">
      <alignment horizontal="center" vertical="center"/>
    </xf>
    <xf numFmtId="0" fontId="9" fillId="3" borderId="15" xfId="8" applyBorder="1">
      <alignment vertical="center"/>
    </xf>
    <xf numFmtId="179" fontId="9" fillId="3" borderId="15" xfId="8" applyNumberFormat="1" applyBorder="1">
      <alignment vertical="center"/>
    </xf>
    <xf numFmtId="0" fontId="37" fillId="3" borderId="15" xfId="8" applyFont="1" applyBorder="1">
      <alignment vertical="center"/>
    </xf>
    <xf numFmtId="49" fontId="38" fillId="0" borderId="10" xfId="0" applyNumberFormat="1" applyFont="1" applyBorder="1" applyAlignment="1">
      <alignment vertical="center" wrapText="1"/>
    </xf>
    <xf numFmtId="0" fontId="39" fillId="0" borderId="0" xfId="0" applyFont="1">
      <alignment vertical="center"/>
    </xf>
    <xf numFmtId="178" fontId="38" fillId="0" borderId="10" xfId="0" applyNumberFormat="1" applyFont="1" applyBorder="1" applyAlignment="1">
      <alignment vertical="center" wrapText="1"/>
    </xf>
    <xf numFmtId="0" fontId="0" fillId="42" borderId="0" xfId="0" applyFill="1">
      <alignment vertical="center"/>
    </xf>
    <xf numFmtId="49" fontId="29" fillId="0" borderId="0" xfId="0" applyNumberFormat="1" applyFont="1" applyAlignment="1">
      <alignment vertical="center" wrapText="1"/>
    </xf>
    <xf numFmtId="0" fontId="29" fillId="0" borderId="0" xfId="0" applyFont="1">
      <alignment vertical="center"/>
    </xf>
    <xf numFmtId="49" fontId="59" fillId="33" borderId="10" xfId="0" applyNumberFormat="1" applyFont="1" applyFill="1" applyBorder="1" applyAlignment="1">
      <alignment vertical="center" wrapText="1"/>
    </xf>
    <xf numFmtId="49" fontId="29" fillId="0" borderId="10" xfId="0" applyNumberFormat="1" applyFont="1" applyBorder="1" applyAlignment="1">
      <alignment vertical="center" wrapText="1"/>
    </xf>
    <xf numFmtId="49" fontId="60" fillId="34" borderId="10" xfId="0" applyNumberFormat="1" applyFont="1" applyFill="1" applyBorder="1" applyAlignment="1">
      <alignment vertical="center" wrapText="1"/>
    </xf>
    <xf numFmtId="49" fontId="62" fillId="35" borderId="10" xfId="0" applyNumberFormat="1" applyFont="1" applyFill="1" applyBorder="1" applyAlignment="1">
      <alignment vertical="center" wrapText="1"/>
    </xf>
    <xf numFmtId="0" fontId="29" fillId="0" borderId="10" xfId="0" applyFont="1" applyBorder="1" applyAlignment="1">
      <alignment vertical="center" wrapText="1"/>
    </xf>
    <xf numFmtId="49" fontId="61" fillId="35" borderId="11" xfId="0" applyNumberFormat="1" applyFont="1" applyFill="1" applyBorder="1" applyAlignment="1">
      <alignment vertical="center" wrapText="1"/>
    </xf>
    <xf numFmtId="49" fontId="61" fillId="35" borderId="12" xfId="0" applyNumberFormat="1" applyFont="1" applyFill="1" applyBorder="1" applyAlignment="1">
      <alignment vertical="center" wrapText="1"/>
    </xf>
    <xf numFmtId="49" fontId="61" fillId="35" borderId="13" xfId="0" applyNumberFormat="1" applyFont="1" applyFill="1" applyBorder="1" applyAlignment="1">
      <alignment vertical="center" wrapText="1"/>
    </xf>
    <xf numFmtId="49" fontId="58" fillId="0" borderId="0" xfId="0" applyNumberFormat="1" applyFont="1" applyAlignment="1">
      <alignment horizontal="center" vertical="center" wrapText="1"/>
    </xf>
    <xf numFmtId="49" fontId="29" fillId="0" borderId="0" xfId="0" applyNumberFormat="1" applyFont="1" applyAlignment="1">
      <alignment vertical="center" wrapText="1"/>
    </xf>
    <xf numFmtId="3" fontId="29" fillId="0" borderId="10" xfId="0" applyNumberFormat="1" applyFont="1" applyBorder="1" applyAlignment="1">
      <alignment vertical="center" wrapText="1"/>
    </xf>
    <xf numFmtId="0" fontId="62" fillId="35" borderId="10" xfId="0" applyFont="1" applyFill="1" applyBorder="1" applyAlignment="1">
      <alignment vertical="center" wrapText="1"/>
    </xf>
    <xf numFmtId="3" fontId="62" fillId="35" borderId="10" xfId="0" applyNumberFormat="1" applyFont="1" applyFill="1" applyBorder="1" applyAlignment="1">
      <alignment vertical="center" wrapText="1"/>
    </xf>
  </cellXfs>
  <cellStyles count="110">
    <cellStyle name="20% - 강조색1" xfId="20" builtinId="30" customBuiltin="1"/>
    <cellStyle name="20% - 강조색1 2" xfId="65" xr:uid="{FD76C192-690D-46DC-BA22-A71B172B9B9E}"/>
    <cellStyle name="20% - 강조색1 3" xfId="92" xr:uid="{1C75F024-E91A-4895-8553-0F5BD8138999}"/>
    <cellStyle name="20% - 강조색2" xfId="24" builtinId="34" customBuiltin="1"/>
    <cellStyle name="20% - 강조색2 2" xfId="69" xr:uid="{1159D3C4-B902-49F2-85CC-6B4509607DB6}"/>
    <cellStyle name="20% - 강조색2 3" xfId="95" xr:uid="{BD688172-B93F-41D6-B44A-CDFCEC1611C4}"/>
    <cellStyle name="20% - 강조색3" xfId="28" builtinId="38" customBuiltin="1"/>
    <cellStyle name="20% - 강조색3 2" xfId="73" xr:uid="{DC4CB3DF-E501-4476-9DDF-9C57C8E6BA58}"/>
    <cellStyle name="20% - 강조색3 3" xfId="98" xr:uid="{785B7E06-C044-4934-943D-95C68047C0A8}"/>
    <cellStyle name="20% - 강조색4" xfId="32" builtinId="42" customBuiltin="1"/>
    <cellStyle name="20% - 강조색4 2" xfId="77" xr:uid="{8A1CC371-19A9-4560-8F06-F53D2FA23017}"/>
    <cellStyle name="20% - 강조색4 3" xfId="101" xr:uid="{661F42C7-B6FE-4014-B5E9-624BBBE45078}"/>
    <cellStyle name="20% - 강조색5" xfId="36" builtinId="46" customBuiltin="1"/>
    <cellStyle name="20% - 강조색5 2" xfId="81" xr:uid="{9EB02D31-CB8C-4B53-916A-0E1217B72B24}"/>
    <cellStyle name="20% - 강조색5 3" xfId="104" xr:uid="{BFA65191-7BB7-4630-A184-090BDFB9774D}"/>
    <cellStyle name="20% - 강조색6" xfId="40" builtinId="50" customBuiltin="1"/>
    <cellStyle name="20% - 강조색6 2" xfId="85" xr:uid="{3F8B947E-84CC-410D-9AEE-86CD579F9316}"/>
    <cellStyle name="20% - 강조색6 3" xfId="107" xr:uid="{07CB82B6-6FD5-47D3-97E2-0EF5C9F95915}"/>
    <cellStyle name="40% - 강조색1" xfId="21" builtinId="31" customBuiltin="1"/>
    <cellStyle name="40% - 강조색1 2" xfId="66" xr:uid="{EC851734-6BC2-417A-B48C-C8A65DBAAFB4}"/>
    <cellStyle name="40% - 강조색1 3" xfId="93" xr:uid="{1EC0CA45-89D7-4CF8-AFE5-5E454605B850}"/>
    <cellStyle name="40% - 강조색2" xfId="25" builtinId="35" customBuiltin="1"/>
    <cellStyle name="40% - 강조색2 2" xfId="70" xr:uid="{4A7BB778-0E48-433D-BC4C-B75B99BA419B}"/>
    <cellStyle name="40% - 강조색2 3" xfId="96" xr:uid="{1E46D597-D631-4E6E-9D80-8CE8E3E6B3D2}"/>
    <cellStyle name="40% - 강조색3" xfId="29" builtinId="39" customBuiltin="1"/>
    <cellStyle name="40% - 강조색3 2" xfId="74" xr:uid="{21DABBA2-B2E9-4FA5-977C-0D6338CA2B0C}"/>
    <cellStyle name="40% - 강조색3 3" xfId="99" xr:uid="{481DE013-416C-4EFA-A617-D7F247897125}"/>
    <cellStyle name="40% - 강조색4" xfId="33" builtinId="43" customBuiltin="1"/>
    <cellStyle name="40% - 강조색4 2" xfId="78" xr:uid="{71EA2D30-376D-4005-A42A-AE7AED29AA4F}"/>
    <cellStyle name="40% - 강조색4 3" xfId="102" xr:uid="{0E817329-9805-464E-BD30-59AD3D91C22B}"/>
    <cellStyle name="40% - 강조색5" xfId="37" builtinId="47" customBuiltin="1"/>
    <cellStyle name="40% - 강조색5 2" xfId="82" xr:uid="{BB688A1F-0509-43BB-963B-5FA9E12D6820}"/>
    <cellStyle name="40% - 강조색5 3" xfId="105" xr:uid="{81CC3DF4-4EDF-410B-A627-E9B70781A238}"/>
    <cellStyle name="40% - 강조색6" xfId="41" builtinId="51" customBuiltin="1"/>
    <cellStyle name="40% - 강조색6 2" xfId="86" xr:uid="{EF3CE540-6022-4BDB-8360-FCCFA9234B23}"/>
    <cellStyle name="40% - 강조색6 3" xfId="108" xr:uid="{FC56A85F-CBF7-447A-9DE0-23AE38108BAE}"/>
    <cellStyle name="60% - 강조색1" xfId="22" builtinId="32" customBuiltin="1"/>
    <cellStyle name="60% - 강조색1 2" xfId="67" xr:uid="{6B0E54B7-4870-48C2-BFC0-EF7F4A208896}"/>
    <cellStyle name="60% - 강조색1 3" xfId="94" xr:uid="{0F3EA46D-9F6A-4D3F-8B49-B2EBF72AE83D}"/>
    <cellStyle name="60% - 강조색2" xfId="26" builtinId="36" customBuiltin="1"/>
    <cellStyle name="60% - 강조색2 2" xfId="71" xr:uid="{2B80ABE2-0475-4251-8652-FFC7E55AB1E5}"/>
    <cellStyle name="60% - 강조색2 3" xfId="97" xr:uid="{98620356-2F41-400B-94D5-D5F4ADC0E0EE}"/>
    <cellStyle name="60% - 강조색3" xfId="30" builtinId="40" customBuiltin="1"/>
    <cellStyle name="60% - 강조색3 2" xfId="75" xr:uid="{A00BF728-3371-4FAF-924E-49C05B79E3BB}"/>
    <cellStyle name="60% - 강조색3 3" xfId="100" xr:uid="{DE1CE96C-6D7D-4F2B-A052-BAE0D53971E7}"/>
    <cellStyle name="60% - 강조색4" xfId="34" builtinId="44" customBuiltin="1"/>
    <cellStyle name="60% - 강조색4 2" xfId="79" xr:uid="{079D26CE-36C5-44AB-B9E0-11838C6B2070}"/>
    <cellStyle name="60% - 강조색4 3" xfId="103" xr:uid="{49B1DF67-A793-447B-9221-89F2932AE8E7}"/>
    <cellStyle name="60% - 강조색5" xfId="38" builtinId="48" customBuiltin="1"/>
    <cellStyle name="60% - 강조색5 2" xfId="83" xr:uid="{DFD22278-BADC-4C7D-B772-72CF4A96074A}"/>
    <cellStyle name="60% - 강조색5 3" xfId="106" xr:uid="{CBDC8D91-5B4B-4EBB-B2E3-18569711F3B8}"/>
    <cellStyle name="60% - 강조색6" xfId="42" builtinId="52" customBuiltin="1"/>
    <cellStyle name="60% - 강조색6 2" xfId="87" xr:uid="{E2680485-9F8A-4821-BEBB-ABD84BDAD463}"/>
    <cellStyle name="60% - 강조색6 3" xfId="109" xr:uid="{7C900D33-55F9-4C60-810C-917247B2E14F}"/>
    <cellStyle name="강조색1" xfId="19" builtinId="29" customBuiltin="1"/>
    <cellStyle name="강조색1 2" xfId="64" xr:uid="{8316DA26-E3F7-4916-B712-FE437BB6712F}"/>
    <cellStyle name="강조색2" xfId="23" builtinId="33" customBuiltin="1"/>
    <cellStyle name="강조색2 2" xfId="68" xr:uid="{70B2BD6B-AE01-401A-8247-DD8C70138742}"/>
    <cellStyle name="강조색3" xfId="27" builtinId="37" customBuiltin="1"/>
    <cellStyle name="강조색3 2" xfId="72" xr:uid="{3D7EA6B4-7EF0-4E92-928E-2BB82742B2F7}"/>
    <cellStyle name="강조색4" xfId="31" builtinId="41" customBuiltin="1"/>
    <cellStyle name="강조색4 2" xfId="76" xr:uid="{854C9350-1695-44D2-A98C-1F8851B21769}"/>
    <cellStyle name="강조색5" xfId="35" builtinId="45" customBuiltin="1"/>
    <cellStyle name="강조색5 2" xfId="80" xr:uid="{25845D34-0100-4DE0-AC2F-122723EF216F}"/>
    <cellStyle name="강조색6" xfId="39" builtinId="49" customBuiltin="1"/>
    <cellStyle name="강조색6 2" xfId="84" xr:uid="{41B52AA6-9AA7-4AA6-AD40-401775C1BDA4}"/>
    <cellStyle name="경고문" xfId="15" builtinId="11" customBuiltin="1"/>
    <cellStyle name="경고문 2" xfId="60" xr:uid="{32961EB9-55FF-4B9D-A6BD-CB9D124BE3E2}"/>
    <cellStyle name="계산" xfId="12" builtinId="22" customBuiltin="1"/>
    <cellStyle name="계산 2" xfId="57" xr:uid="{9A99DD84-F337-466F-A172-016EA0B5ECD7}"/>
    <cellStyle name="나쁨" xfId="8" builtinId="27" customBuiltin="1"/>
    <cellStyle name="나쁨 2" xfId="53" xr:uid="{FE951C4E-1B30-4B7D-A61B-738CDFA328BB}"/>
    <cellStyle name="메모" xfId="16" builtinId="10" customBuiltin="1"/>
    <cellStyle name="메모 2" xfId="61" xr:uid="{A54439BE-7DFC-4F9A-B416-BBFD8ECEA7EF}"/>
    <cellStyle name="메모 3" xfId="91" xr:uid="{8E86B778-C32A-45D9-BE88-E34AF075E84F}"/>
    <cellStyle name="보통" xfId="9" builtinId="28" customBuiltin="1"/>
    <cellStyle name="보통 2" xfId="54" xr:uid="{0EF6865D-2E69-4431-B137-9003F69FAFAD}"/>
    <cellStyle name="설명 텍스트" xfId="17" builtinId="53" customBuiltin="1"/>
    <cellStyle name="설명 텍스트 2" xfId="62" xr:uid="{1901240C-B1C7-48E5-9D36-6F13D962F6F3}"/>
    <cellStyle name="셀 확인" xfId="14" builtinId="23" customBuiltin="1"/>
    <cellStyle name="셀 확인 2" xfId="59" xr:uid="{7871E08D-4B07-4108-B6A9-3160F0CD2EB3}"/>
    <cellStyle name="쉼표 [0]" xfId="1" builtinId="6"/>
    <cellStyle name="쉼표 [0] 2 2" xfId="46" xr:uid="{00000000-0005-0000-0000-000020000000}"/>
    <cellStyle name="연결된 셀" xfId="13" builtinId="24" customBuiltin="1"/>
    <cellStyle name="연결된 셀 2" xfId="58" xr:uid="{E0AF91B5-F769-4C4D-8F52-5ED84A7F5528}"/>
    <cellStyle name="열어 본 하이퍼링크" xfId="44" builtinId="9" customBuiltin="1"/>
    <cellStyle name="열어 본 하이퍼링크 2" xfId="89" xr:uid="{801F7DDF-05EC-4AFC-AE4D-FEFF4137BCBA}"/>
    <cellStyle name="요약" xfId="18" builtinId="25" customBuiltin="1"/>
    <cellStyle name="요약 2" xfId="63" xr:uid="{4B233B35-3297-4B25-B05C-BB476B99C88D}"/>
    <cellStyle name="입력" xfId="10" builtinId="20" customBuiltin="1"/>
    <cellStyle name="입력 2" xfId="55" xr:uid="{BE35609B-3E2B-4FE8-851C-A94BED5226AC}"/>
    <cellStyle name="제목" xfId="2" builtinId="15" customBuiltin="1"/>
    <cellStyle name="제목 1" xfId="3" builtinId="16" customBuiltin="1"/>
    <cellStyle name="제목 1 2" xfId="48" xr:uid="{EC2D93CB-1CF0-4C40-B861-CC41047EA9AB}"/>
    <cellStyle name="제목 2" xfId="4" builtinId="17" customBuiltin="1"/>
    <cellStyle name="제목 2 2" xfId="49" xr:uid="{2E402A06-41C8-44FF-91E6-8D7C277E868E}"/>
    <cellStyle name="제목 3" xfId="5" builtinId="18" customBuiltin="1"/>
    <cellStyle name="제목 3 2" xfId="50" xr:uid="{44AD7D94-2108-40B6-B2D8-931D1CA6126D}"/>
    <cellStyle name="제목 4" xfId="6" builtinId="19" customBuiltin="1"/>
    <cellStyle name="제목 4 2" xfId="51" xr:uid="{2F52D637-40E0-4B45-AE3D-A128A49C2D58}"/>
    <cellStyle name="좋음" xfId="7" builtinId="26" customBuiltin="1"/>
    <cellStyle name="좋음 2" xfId="52" xr:uid="{24392610-DA67-4191-A046-880C55B83495}"/>
    <cellStyle name="출력" xfId="11" builtinId="21" customBuiltin="1"/>
    <cellStyle name="출력 2" xfId="56" xr:uid="{ADAAF7F9-F3DC-4778-AA92-50FA3E67EE5D}"/>
    <cellStyle name="표준" xfId="0" builtinId="0"/>
    <cellStyle name="표준 2" xfId="47" xr:uid="{660CB6A9-D38F-4656-9F3F-7DDB88EF52C5}"/>
    <cellStyle name="표준 2 11 2 10 2 2" xfId="45" xr:uid="{00000000-0005-0000-0000-00002D000000}"/>
    <cellStyle name="표준 3" xfId="90" xr:uid="{0F400EC3-9BD2-40B1-949C-B3EC8702F5E4}"/>
    <cellStyle name="하이퍼링크" xfId="43" builtinId="8" customBuiltin="1"/>
    <cellStyle name="하이퍼링크 2" xfId="88" xr:uid="{326A4B3A-1F90-42EA-8C80-7E0ACB1555C8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89"/>
  <sheetViews>
    <sheetView showGridLines="0" tabSelected="1" topLeftCell="F1" zoomScaleNormal="100" workbookViewId="0">
      <selection activeCell="O12" sqref="O12"/>
    </sheetView>
  </sheetViews>
  <sheetFormatPr defaultColWidth="16" defaultRowHeight="13.2"/>
  <cols>
    <col min="1" max="1" width="8.5546875" style="43" bestFit="1" customWidth="1"/>
    <col min="2" max="2" width="13.5546875" style="43" bestFit="1" customWidth="1"/>
    <col min="3" max="3" width="28.33203125" style="43" bestFit="1" customWidth="1"/>
    <col min="4" max="4" width="27.77734375" style="43" bestFit="1" customWidth="1"/>
    <col min="5" max="5" width="8" style="43" bestFit="1" customWidth="1"/>
    <col min="6" max="6" width="23" style="43" bestFit="1" customWidth="1"/>
    <col min="7" max="7" width="9.109375" style="43" bestFit="1" customWidth="1"/>
    <col min="8" max="8" width="8" style="43" bestFit="1" customWidth="1"/>
    <col min="9" max="9" width="9.109375" style="43" bestFit="1" customWidth="1"/>
    <col min="10" max="10" width="11.77734375" style="23" bestFit="1" customWidth="1"/>
    <col min="11" max="11" width="16" style="23"/>
    <col min="12" max="12" width="10.88671875" style="23" bestFit="1" customWidth="1"/>
    <col min="13" max="13" width="32.77734375" style="23" bestFit="1" customWidth="1"/>
    <col min="14" max="14" width="14.109375" style="23" bestFit="1" customWidth="1"/>
    <col min="15" max="15" width="43.33203125" style="23" bestFit="1" customWidth="1"/>
    <col min="16" max="16" width="4" style="23" bestFit="1" customWidth="1"/>
    <col min="17" max="17" width="16.88671875" style="23" bestFit="1" customWidth="1"/>
    <col min="18" max="16384" width="16" style="23"/>
  </cols>
  <sheetData>
    <row r="1" spans="1:18" ht="22.5" customHeight="1">
      <c r="A1" s="52" t="s">
        <v>114</v>
      </c>
      <c r="B1" s="52"/>
      <c r="C1" s="52"/>
      <c r="D1" s="52"/>
      <c r="E1" s="52"/>
      <c r="F1" s="52"/>
      <c r="G1" s="52"/>
      <c r="H1" s="52"/>
      <c r="I1" s="52"/>
      <c r="J1" s="18" t="s">
        <v>56</v>
      </c>
      <c r="K1" s="18"/>
      <c r="L1" s="19" t="s">
        <v>57</v>
      </c>
      <c r="M1" s="27"/>
      <c r="N1" s="35" t="s">
        <v>92</v>
      </c>
      <c r="O1" s="35" t="s">
        <v>95</v>
      </c>
      <c r="P1" s="36">
        <v>16</v>
      </c>
      <c r="Q1" s="37" t="s">
        <v>96</v>
      </c>
    </row>
    <row r="2" spans="1:18" ht="18.75" customHeight="1">
      <c r="A2" s="42" t="s">
        <v>93</v>
      </c>
      <c r="B2" s="53" t="s">
        <v>94</v>
      </c>
      <c r="C2" s="53"/>
      <c r="D2" s="53"/>
      <c r="E2" s="42" t="s">
        <v>0</v>
      </c>
      <c r="F2" s="53" t="s">
        <v>135</v>
      </c>
      <c r="G2" s="53"/>
      <c r="H2" s="53"/>
      <c r="I2" s="53"/>
      <c r="J2" s="20" t="s">
        <v>13</v>
      </c>
      <c r="K2" s="20"/>
      <c r="L2" s="25">
        <v>81032000</v>
      </c>
      <c r="M2" s="28"/>
      <c r="N2" s="21" t="s">
        <v>58</v>
      </c>
    </row>
    <row r="3" spans="1:18" ht="18.75" customHeight="1">
      <c r="A3" s="53" t="s">
        <v>1</v>
      </c>
      <c r="B3" s="53"/>
      <c r="C3" s="53"/>
      <c r="D3" s="53"/>
      <c r="E3" s="53"/>
      <c r="F3" s="53"/>
      <c r="G3" s="53"/>
      <c r="H3" s="53"/>
      <c r="I3" s="53"/>
      <c r="J3" s="22"/>
      <c r="K3" s="22"/>
      <c r="L3" s="22"/>
      <c r="M3" s="22"/>
    </row>
    <row r="4" spans="1:18" ht="7.5" customHeight="1">
      <c r="A4" s="42"/>
    </row>
    <row r="5" spans="1:18" ht="18.75" customHeight="1">
      <c r="A5" s="44" t="s">
        <v>2</v>
      </c>
      <c r="B5" s="44" t="s">
        <v>3</v>
      </c>
      <c r="C5" s="44" t="s">
        <v>4</v>
      </c>
      <c r="D5" s="44" t="s">
        <v>5</v>
      </c>
      <c r="E5" s="44" t="s">
        <v>6</v>
      </c>
      <c r="F5" s="44" t="s">
        <v>7</v>
      </c>
      <c r="G5" s="44" t="s">
        <v>8</v>
      </c>
      <c r="H5" s="44" t="s">
        <v>9</v>
      </c>
      <c r="I5" s="44" t="s">
        <v>10</v>
      </c>
      <c r="J5" s="30" t="s">
        <v>97</v>
      </c>
      <c r="K5" s="24"/>
      <c r="L5" s="30" t="s">
        <v>98</v>
      </c>
      <c r="M5" s="31" t="s">
        <v>101</v>
      </c>
      <c r="N5" s="32" t="s">
        <v>14</v>
      </c>
      <c r="O5" s="33" t="s">
        <v>16</v>
      </c>
      <c r="P5" s="34" t="s">
        <v>102</v>
      </c>
      <c r="Q5" s="34" t="s">
        <v>99</v>
      </c>
      <c r="R5" s="34" t="s">
        <v>100</v>
      </c>
    </row>
    <row r="6" spans="1:18" ht="18.75" customHeight="1">
      <c r="A6" s="45" t="s">
        <v>11</v>
      </c>
      <c r="B6" s="48">
        <v>2.009320260324E+17</v>
      </c>
      <c r="C6" s="45" t="s">
        <v>12</v>
      </c>
      <c r="D6" s="45" t="s">
        <v>13</v>
      </c>
      <c r="E6" s="45" t="s">
        <v>135</v>
      </c>
      <c r="F6" s="45" t="s">
        <v>134</v>
      </c>
      <c r="G6" s="48">
        <v>1</v>
      </c>
      <c r="H6" s="45" t="s">
        <v>139</v>
      </c>
      <c r="I6" s="45" t="s">
        <v>139</v>
      </c>
      <c r="J6" s="26">
        <f t="shared" ref="J6:J69" si="0">$L$2</f>
        <v>81032000</v>
      </c>
      <c r="K6" s="22"/>
      <c r="L6" s="23" t="str">
        <f>IFERROR(VLOOKUP(D6,마스터!$R$4:$S$40,2,0),"")</f>
        <v/>
      </c>
      <c r="M6" s="23" t="e">
        <f>VLOOKUP(L6,마스터!S:T,2,0)</f>
        <v>#N/A</v>
      </c>
      <c r="N6" s="23" t="str">
        <f>IFERROR(VLOOKUP(B6,마스터!$A$2:$B$8,2,0),"")</f>
        <v/>
      </c>
      <c r="O6" s="23" t="e">
        <f>VLOOKUP(N6,마스터!$B$1:$G$8,2,0)</f>
        <v>#N/A</v>
      </c>
      <c r="P6" s="23" t="str">
        <f>IFERROR(F6*G6,"")</f>
        <v/>
      </c>
      <c r="Q6" s="29" t="str">
        <f t="shared" ref="Q6:R6" si="1">H6</f>
        <v>2026-03-25</v>
      </c>
      <c r="R6" s="29" t="str">
        <f t="shared" si="1"/>
        <v>2026-03-25</v>
      </c>
    </row>
    <row r="7" spans="1:18" ht="18.75" customHeight="1">
      <c r="A7" s="46" t="s">
        <v>14</v>
      </c>
      <c r="B7" s="46" t="s">
        <v>15</v>
      </c>
      <c r="C7" s="46" t="s">
        <v>16</v>
      </c>
      <c r="D7" s="46" t="s">
        <v>17</v>
      </c>
      <c r="E7" s="46" t="s">
        <v>18</v>
      </c>
      <c r="F7" s="46" t="s">
        <v>19</v>
      </c>
      <c r="G7" s="46" t="s">
        <v>20</v>
      </c>
      <c r="H7" s="46" t="s">
        <v>21</v>
      </c>
      <c r="I7" s="46" t="s">
        <v>22</v>
      </c>
      <c r="J7" s="26">
        <f t="shared" si="0"/>
        <v>81032000</v>
      </c>
      <c r="K7" s="22"/>
      <c r="L7" s="23" t="str">
        <f>IFERROR(VLOOKUP(D7,마스터!$R$4:$S$40,2,0),"")</f>
        <v/>
      </c>
      <c r="M7" s="23" t="e">
        <f>VLOOKUP(L7,마스터!S:T,2,0)</f>
        <v>#N/A</v>
      </c>
      <c r="N7" s="23" t="str">
        <f>IFERROR(VLOOKUP(B7,마스터!$A$2:$B$8,2,0),"")</f>
        <v/>
      </c>
      <c r="O7" s="23" t="e">
        <f>VLOOKUP(N7,마스터!$B$1:$G$8,2,0)</f>
        <v>#N/A</v>
      </c>
      <c r="P7" s="23" t="str">
        <f t="shared" ref="P7:P36" si="2">IFERROR(F7*G7,"")</f>
        <v/>
      </c>
      <c r="Q7" s="29" t="str">
        <f t="shared" ref="Q7:Q36" si="3">H7</f>
        <v>단가</v>
      </c>
      <c r="R7" s="29" t="str">
        <f t="shared" ref="R7:R36" si="4">I7</f>
        <v>주문금액</v>
      </c>
    </row>
    <row r="8" spans="1:18" ht="18.75" customHeight="1">
      <c r="A8" s="48">
        <v>134550</v>
      </c>
      <c r="B8" s="48">
        <v>8809020343744</v>
      </c>
      <c r="C8" s="45" t="s">
        <v>136</v>
      </c>
      <c r="D8" s="45" t="s">
        <v>137</v>
      </c>
      <c r="E8" s="45" t="s">
        <v>138</v>
      </c>
      <c r="F8" s="48">
        <v>40</v>
      </c>
      <c r="G8" s="45">
        <v>1</v>
      </c>
      <c r="H8" s="54">
        <v>1025</v>
      </c>
      <c r="I8" s="54">
        <v>41000</v>
      </c>
      <c r="J8" s="26">
        <f t="shared" si="0"/>
        <v>81032000</v>
      </c>
      <c r="K8" s="22"/>
      <c r="L8" s="23">
        <f>IFERROR(VLOOKUP(D8,마스터!$R$4:$S$80,2,0),"")</f>
        <v>81010975</v>
      </c>
      <c r="M8" s="23" t="str">
        <f>VLOOKUP(L8,마스터!S:T,2,0)</f>
        <v>20093((주)코리아세븐 이천HUB(B)센터)</v>
      </c>
      <c r="N8" s="23" t="str">
        <f>IFERROR(VLOOKUP(B8,마스터!$A$2:$B$8,2,0),"")</f>
        <v>ME00621CCP</v>
      </c>
      <c r="O8" s="23" t="str">
        <f>VLOOKUP(N8,마스터!$B$1:$G$8,2,0)</f>
        <v>편의점용) 아크네스 퍼펙트 솔루션 스팟패치 18매</v>
      </c>
      <c r="P8" s="23">
        <f t="shared" si="2"/>
        <v>40</v>
      </c>
      <c r="Q8" s="29">
        <f t="shared" si="3"/>
        <v>1025</v>
      </c>
      <c r="R8" s="29">
        <f t="shared" si="4"/>
        <v>41000</v>
      </c>
    </row>
    <row r="9" spans="1:18" ht="13.05" customHeight="1">
      <c r="A9" s="49" t="s">
        <v>24</v>
      </c>
      <c r="B9" s="50"/>
      <c r="C9" s="50"/>
      <c r="D9" s="50"/>
      <c r="E9" s="50"/>
      <c r="F9" s="51"/>
      <c r="G9" s="55">
        <v>1</v>
      </c>
      <c r="H9" s="47"/>
      <c r="I9" s="56">
        <v>41000</v>
      </c>
      <c r="J9" s="26">
        <f t="shared" si="0"/>
        <v>81032000</v>
      </c>
      <c r="K9" s="22"/>
      <c r="L9" s="23" t="str">
        <f>IFERROR(VLOOKUP(D9,마스터!$R$4:$S$80,2,0),"")</f>
        <v/>
      </c>
      <c r="M9" s="23" t="e">
        <f>VLOOKUP(L9,마스터!S:T,2,0)</f>
        <v>#N/A</v>
      </c>
      <c r="N9" s="23" t="str">
        <f>IFERROR(VLOOKUP(B9,마스터!$A$2:$B$8,2,0),"")</f>
        <v/>
      </c>
      <c r="O9" s="23" t="e">
        <f>VLOOKUP(N9,마스터!$B$1:$G$8,2,0)</f>
        <v>#N/A</v>
      </c>
      <c r="P9" s="23">
        <f t="shared" si="2"/>
        <v>0</v>
      </c>
      <c r="Q9" s="29">
        <f t="shared" si="3"/>
        <v>0</v>
      </c>
      <c r="R9" s="29">
        <f t="shared" si="4"/>
        <v>41000</v>
      </c>
    </row>
    <row r="10" spans="1:18" ht="13.05" customHeight="1">
      <c r="A10" s="42"/>
      <c r="J10" s="26">
        <f t="shared" si="0"/>
        <v>81032000</v>
      </c>
      <c r="K10" s="22"/>
      <c r="L10" s="23" t="str">
        <f>IFERROR(VLOOKUP(D10,마스터!$R$4:$S$40,2,0),"")</f>
        <v/>
      </c>
      <c r="M10" s="23" t="e">
        <f>VLOOKUP(L10,마스터!S:T,2,0)</f>
        <v>#N/A</v>
      </c>
      <c r="N10" s="23" t="str">
        <f>IFERROR(VLOOKUP(B10,마스터!$A$2:$B$8,2,0),"")</f>
        <v/>
      </c>
      <c r="O10" s="23" t="e">
        <f>VLOOKUP(N10,마스터!$B$1:$G$8,2,0)</f>
        <v>#N/A</v>
      </c>
      <c r="P10" s="23">
        <f t="shared" si="2"/>
        <v>0</v>
      </c>
      <c r="Q10" s="29">
        <f t="shared" si="3"/>
        <v>0</v>
      </c>
      <c r="R10" s="29">
        <f t="shared" si="4"/>
        <v>0</v>
      </c>
    </row>
    <row r="11" spans="1:18" ht="13.2" customHeight="1">
      <c r="A11" s="42"/>
      <c r="J11" s="26">
        <f t="shared" si="0"/>
        <v>81032000</v>
      </c>
      <c r="K11" s="22"/>
      <c r="L11" s="23" t="str">
        <f>IFERROR(VLOOKUP(D11,마스터!$R$4:$S$40,2,0),"")</f>
        <v/>
      </c>
      <c r="M11" s="23" t="e">
        <f>VLOOKUP(L11,마스터!S:T,2,0)</f>
        <v>#N/A</v>
      </c>
      <c r="N11" s="23" t="str">
        <f>IFERROR(VLOOKUP(B11,마스터!$A$2:$B$8,2,0),"")</f>
        <v/>
      </c>
      <c r="O11" s="23" t="e">
        <f>VLOOKUP(N11,마스터!$B$1:$G$8,2,0)</f>
        <v>#N/A</v>
      </c>
      <c r="P11" s="23">
        <f t="shared" si="2"/>
        <v>0</v>
      </c>
      <c r="Q11" s="29">
        <f t="shared" si="3"/>
        <v>0</v>
      </c>
      <c r="R11" s="29">
        <f t="shared" si="4"/>
        <v>0</v>
      </c>
    </row>
    <row r="12" spans="1:18" ht="13.2" customHeight="1">
      <c r="J12" s="26">
        <f t="shared" si="0"/>
        <v>81032000</v>
      </c>
      <c r="K12" s="22"/>
      <c r="L12" s="23" t="str">
        <f>IFERROR(VLOOKUP(D12,마스터!$R$4:$S$40,2,0),"")</f>
        <v/>
      </c>
      <c r="M12" s="23" t="e">
        <f>VLOOKUP(L12,마스터!S:T,2,0)</f>
        <v>#N/A</v>
      </c>
      <c r="N12" s="23" t="str">
        <f>IFERROR(VLOOKUP(B12,마스터!$A$2:$B$8,2,0),"")</f>
        <v/>
      </c>
      <c r="O12" s="23" t="e">
        <f>VLOOKUP(N12,마스터!$B$1:$G$8,2,0)</f>
        <v>#N/A</v>
      </c>
      <c r="P12" s="23">
        <f t="shared" si="2"/>
        <v>0</v>
      </c>
      <c r="Q12" s="29">
        <f t="shared" si="3"/>
        <v>0</v>
      </c>
      <c r="R12" s="29">
        <f t="shared" si="4"/>
        <v>0</v>
      </c>
    </row>
    <row r="13" spans="1:18" ht="13.2" customHeight="1">
      <c r="J13" s="26">
        <f t="shared" si="0"/>
        <v>81032000</v>
      </c>
      <c r="K13" s="22"/>
      <c r="L13" s="23" t="str">
        <f>IFERROR(VLOOKUP(D13,마스터!$R$4:$S$40,2,0),"")</f>
        <v/>
      </c>
      <c r="M13" s="23" t="e">
        <f>VLOOKUP(L13,마스터!S:T,2,0)</f>
        <v>#N/A</v>
      </c>
      <c r="N13" s="23" t="str">
        <f>IFERROR(VLOOKUP(B13,마스터!$A$2:$B$8,2,0),"")</f>
        <v/>
      </c>
      <c r="O13" s="23" t="e">
        <f>VLOOKUP(N13,마스터!$B$1:$G$8,2,0)</f>
        <v>#N/A</v>
      </c>
      <c r="P13" s="23">
        <f t="shared" si="2"/>
        <v>0</v>
      </c>
      <c r="Q13" s="29">
        <f t="shared" si="3"/>
        <v>0</v>
      </c>
      <c r="R13" s="29">
        <f t="shared" si="4"/>
        <v>0</v>
      </c>
    </row>
    <row r="14" spans="1:18" ht="13.2" customHeight="1">
      <c r="J14" s="26">
        <f t="shared" si="0"/>
        <v>81032000</v>
      </c>
      <c r="K14" s="22"/>
      <c r="L14" s="23" t="str">
        <f>IFERROR(VLOOKUP(D14,마스터!$R$4:$S$40,2,0),"")</f>
        <v/>
      </c>
      <c r="M14" s="23" t="e">
        <f>VLOOKUP(L14,마스터!S:T,2,0)</f>
        <v>#N/A</v>
      </c>
      <c r="N14" s="23" t="str">
        <f>IFERROR(VLOOKUP(B14,마스터!$A$2:$B$8,2,0),"")</f>
        <v/>
      </c>
      <c r="O14" s="23" t="e">
        <f>VLOOKUP(N14,마스터!$B$1:$G$8,2,0)</f>
        <v>#N/A</v>
      </c>
      <c r="P14" s="23">
        <f t="shared" si="2"/>
        <v>0</v>
      </c>
      <c r="Q14" s="29">
        <f t="shared" si="3"/>
        <v>0</v>
      </c>
      <c r="R14" s="29">
        <f t="shared" si="4"/>
        <v>0</v>
      </c>
    </row>
    <row r="15" spans="1:18" ht="13.2" customHeight="1">
      <c r="J15" s="26">
        <f t="shared" si="0"/>
        <v>81032000</v>
      </c>
      <c r="K15" s="22"/>
      <c r="L15" s="23" t="str">
        <f>IFERROR(VLOOKUP(D15,마스터!$R$4:$S$80,2,0),"")</f>
        <v/>
      </c>
      <c r="M15" s="23" t="e">
        <f>VLOOKUP(L15,마스터!S:T,2,0)</f>
        <v>#N/A</v>
      </c>
      <c r="N15" s="23" t="str">
        <f>IFERROR(VLOOKUP(B15,마스터!$A$2:$B$8,2,0),"")</f>
        <v/>
      </c>
      <c r="O15" s="23" t="e">
        <f>VLOOKUP(N15,마스터!$B$1:$G$8,2,0)</f>
        <v>#N/A</v>
      </c>
      <c r="P15" s="23">
        <f t="shared" si="2"/>
        <v>0</v>
      </c>
      <c r="Q15" s="29">
        <f t="shared" si="3"/>
        <v>0</v>
      </c>
      <c r="R15" s="29">
        <f t="shared" si="4"/>
        <v>0</v>
      </c>
    </row>
    <row r="16" spans="1:18">
      <c r="J16" s="26">
        <f t="shared" si="0"/>
        <v>81032000</v>
      </c>
      <c r="K16" s="22"/>
      <c r="L16" s="23" t="str">
        <f>IFERROR(VLOOKUP(D16,마스터!$R$4:$S$80,2,0),"")</f>
        <v/>
      </c>
      <c r="M16" s="23" t="e">
        <f>VLOOKUP(L16,마스터!S:T,2,0)</f>
        <v>#N/A</v>
      </c>
      <c r="N16" s="23" t="str">
        <f>IFERROR(VLOOKUP(B16,마스터!$A$2:$B$8,2,0),"")</f>
        <v/>
      </c>
      <c r="O16" s="23" t="e">
        <f>VLOOKUP(N16,마스터!$B$1:$G$8,2,0)</f>
        <v>#N/A</v>
      </c>
      <c r="P16" s="23">
        <f t="shared" si="2"/>
        <v>0</v>
      </c>
      <c r="Q16" s="29">
        <f t="shared" si="3"/>
        <v>0</v>
      </c>
      <c r="R16" s="29">
        <f t="shared" si="4"/>
        <v>0</v>
      </c>
    </row>
    <row r="17" spans="10:18" ht="13.2" customHeight="1">
      <c r="J17" s="26">
        <f t="shared" si="0"/>
        <v>81032000</v>
      </c>
      <c r="K17" s="22"/>
      <c r="L17" s="23" t="str">
        <f>IFERROR(VLOOKUP(D17,마스터!$R$4:$S$80,2,0),"")</f>
        <v/>
      </c>
      <c r="M17" s="23" t="e">
        <f>VLOOKUP(L17,마스터!S:T,2,0)</f>
        <v>#N/A</v>
      </c>
      <c r="N17" s="23" t="str">
        <f>IFERROR(VLOOKUP(B17,마스터!$A$2:$B$8,2,0),"")</f>
        <v/>
      </c>
      <c r="O17" s="23" t="e">
        <f>VLOOKUP(N17,마스터!$B$1:$G$8,2,0)</f>
        <v>#N/A</v>
      </c>
      <c r="P17" s="23">
        <f t="shared" si="2"/>
        <v>0</v>
      </c>
      <c r="Q17" s="29">
        <f t="shared" si="3"/>
        <v>0</v>
      </c>
      <c r="R17" s="29">
        <f t="shared" si="4"/>
        <v>0</v>
      </c>
    </row>
    <row r="18" spans="10:18" ht="13.2" customHeight="1">
      <c r="J18" s="26">
        <f t="shared" si="0"/>
        <v>81032000</v>
      </c>
      <c r="K18" s="22"/>
      <c r="L18" s="23" t="str">
        <f>IFERROR(VLOOKUP(D18,마스터!$R$4:$S$40,2,0),"")</f>
        <v/>
      </c>
      <c r="M18" s="23" t="e">
        <f>VLOOKUP(L18,마스터!S:T,2,0)</f>
        <v>#N/A</v>
      </c>
      <c r="N18" s="23" t="str">
        <f>IFERROR(VLOOKUP(B18,마스터!$A$2:$B$8,2,0),"")</f>
        <v/>
      </c>
      <c r="O18" s="23" t="e">
        <f>VLOOKUP(N18,마스터!$B$1:$G$8,2,0)</f>
        <v>#N/A</v>
      </c>
      <c r="P18" s="23">
        <f t="shared" si="2"/>
        <v>0</v>
      </c>
      <c r="Q18" s="29">
        <f t="shared" si="3"/>
        <v>0</v>
      </c>
      <c r="R18" s="29">
        <f t="shared" si="4"/>
        <v>0</v>
      </c>
    </row>
    <row r="19" spans="10:18" ht="13.2" customHeight="1">
      <c r="J19" s="26">
        <f t="shared" si="0"/>
        <v>81032000</v>
      </c>
      <c r="K19" s="22"/>
      <c r="L19" s="23" t="str">
        <f>IFERROR(VLOOKUP(D19,마스터!$R$4:$S$40,2,0),"")</f>
        <v/>
      </c>
      <c r="M19" s="23" t="e">
        <f>VLOOKUP(L19,마스터!S:T,2,0)</f>
        <v>#N/A</v>
      </c>
      <c r="N19" s="23" t="str">
        <f>IFERROR(VLOOKUP(B19,마스터!$A$2:$B$8,2,0),"")</f>
        <v/>
      </c>
      <c r="O19" s="23" t="e">
        <f>VLOOKUP(N19,마스터!$B$1:$G$8,2,0)</f>
        <v>#N/A</v>
      </c>
      <c r="P19" s="23">
        <f t="shared" si="2"/>
        <v>0</v>
      </c>
      <c r="Q19" s="29">
        <f t="shared" si="3"/>
        <v>0</v>
      </c>
      <c r="R19" s="29">
        <f t="shared" si="4"/>
        <v>0</v>
      </c>
    </row>
    <row r="20" spans="10:18" ht="13.2" customHeight="1">
      <c r="J20" s="26">
        <f t="shared" si="0"/>
        <v>81032000</v>
      </c>
      <c r="K20" s="22"/>
      <c r="L20" s="23" t="str">
        <f>IFERROR(VLOOKUP(D20,마스터!$R$4:$S$40,2,0),"")</f>
        <v/>
      </c>
      <c r="M20" s="23" t="e">
        <f>VLOOKUP(L20,마스터!S:T,2,0)</f>
        <v>#N/A</v>
      </c>
      <c r="N20" s="23" t="str">
        <f>IFERROR(VLOOKUP(B20,마스터!$A$2:$B$8,2,0),"")</f>
        <v/>
      </c>
      <c r="O20" s="23" t="e">
        <f>VLOOKUP(N20,마스터!$B$1:$G$8,2,0)</f>
        <v>#N/A</v>
      </c>
      <c r="P20" s="23">
        <f t="shared" si="2"/>
        <v>0</v>
      </c>
      <c r="Q20" s="29">
        <f t="shared" si="3"/>
        <v>0</v>
      </c>
      <c r="R20" s="29">
        <f t="shared" si="4"/>
        <v>0</v>
      </c>
    </row>
    <row r="21" spans="10:18" ht="13.2" customHeight="1">
      <c r="J21" s="26">
        <f t="shared" si="0"/>
        <v>81032000</v>
      </c>
      <c r="K21" s="22"/>
      <c r="L21" s="23" t="str">
        <f>IFERROR(VLOOKUP(D21,마스터!$R$4:$S$40,2,0),"")</f>
        <v/>
      </c>
      <c r="M21" s="23" t="e">
        <f>VLOOKUP(L21,마스터!S:T,2,0)</f>
        <v>#N/A</v>
      </c>
      <c r="N21" s="23" t="str">
        <f>IFERROR(VLOOKUP(B21,마스터!$A$2:$B$8,2,0),"")</f>
        <v/>
      </c>
      <c r="O21" s="23" t="e">
        <f>VLOOKUP(N21,마스터!$B$1:$G$8,2,0)</f>
        <v>#N/A</v>
      </c>
      <c r="P21" s="23">
        <f t="shared" si="2"/>
        <v>0</v>
      </c>
      <c r="Q21" s="29">
        <f t="shared" si="3"/>
        <v>0</v>
      </c>
      <c r="R21" s="29">
        <f t="shared" si="4"/>
        <v>0</v>
      </c>
    </row>
    <row r="22" spans="10:18" ht="13.2" customHeight="1">
      <c r="J22" s="26">
        <f t="shared" si="0"/>
        <v>81032000</v>
      </c>
      <c r="K22" s="22"/>
      <c r="L22" s="23" t="str">
        <f>IFERROR(VLOOKUP(D22,마스터!$R$4:$S$80,2,0),"")</f>
        <v/>
      </c>
      <c r="M22" s="23" t="e">
        <f>VLOOKUP(L22,마스터!S:T,2,0)</f>
        <v>#N/A</v>
      </c>
      <c r="N22" s="23" t="str">
        <f>IFERROR(VLOOKUP(B22,마스터!$A$2:$B$8,2,0),"")</f>
        <v/>
      </c>
      <c r="O22" s="23" t="e">
        <f>VLOOKUP(N22,마스터!$B$1:$G$8,2,0)</f>
        <v>#N/A</v>
      </c>
      <c r="P22" s="23">
        <f t="shared" si="2"/>
        <v>0</v>
      </c>
      <c r="Q22" s="29">
        <f t="shared" si="3"/>
        <v>0</v>
      </c>
      <c r="R22" s="29">
        <f t="shared" si="4"/>
        <v>0</v>
      </c>
    </row>
    <row r="23" spans="10:18" ht="13.05" customHeight="1">
      <c r="J23" s="26">
        <f t="shared" si="0"/>
        <v>81032000</v>
      </c>
      <c r="K23" s="22"/>
      <c r="L23" s="23" t="str">
        <f>IFERROR(VLOOKUP(D23,마스터!$R$4:$S$80,2,0),"")</f>
        <v/>
      </c>
      <c r="M23" s="23" t="e">
        <f>VLOOKUP(L23,마스터!S:T,2,0)</f>
        <v>#N/A</v>
      </c>
      <c r="N23" s="23" t="str">
        <f>IFERROR(VLOOKUP(B23,마스터!$A$2:$B$8,2,0),"")</f>
        <v/>
      </c>
      <c r="O23" s="23" t="e">
        <f>VLOOKUP(N23,마스터!$B$1:$G$8,2,0)</f>
        <v>#N/A</v>
      </c>
      <c r="P23" s="23">
        <f t="shared" si="2"/>
        <v>0</v>
      </c>
      <c r="Q23" s="29">
        <f t="shared" si="3"/>
        <v>0</v>
      </c>
      <c r="R23" s="29">
        <f t="shared" si="4"/>
        <v>0</v>
      </c>
    </row>
    <row r="24" spans="10:18" ht="13.2" customHeight="1">
      <c r="J24" s="26">
        <f t="shared" si="0"/>
        <v>81032000</v>
      </c>
      <c r="K24" s="22"/>
      <c r="L24" s="23" t="str">
        <f>IFERROR(VLOOKUP(D24,마스터!$R$4:$S$80,2,0),"")</f>
        <v/>
      </c>
      <c r="M24" s="23" t="e">
        <f>VLOOKUP(L24,마스터!S:T,2,0)</f>
        <v>#N/A</v>
      </c>
      <c r="N24" s="23" t="str">
        <f>IFERROR(VLOOKUP(B24,마스터!$A$2:$B$8,2,0),"")</f>
        <v/>
      </c>
      <c r="O24" s="23" t="e">
        <f>VLOOKUP(N24,마스터!$B$1:$G$8,2,0)</f>
        <v>#N/A</v>
      </c>
      <c r="P24" s="23">
        <f t="shared" si="2"/>
        <v>0</v>
      </c>
      <c r="Q24" s="29">
        <f t="shared" si="3"/>
        <v>0</v>
      </c>
      <c r="R24" s="29">
        <f t="shared" si="4"/>
        <v>0</v>
      </c>
    </row>
    <row r="25" spans="10:18" ht="13.2" customHeight="1">
      <c r="J25" s="26">
        <f t="shared" si="0"/>
        <v>81032000</v>
      </c>
      <c r="K25" s="22"/>
      <c r="L25" s="23" t="str">
        <f>IFERROR(VLOOKUP(D25,마스터!$R$4:$S$80,2,0),"")</f>
        <v/>
      </c>
      <c r="M25" s="23" t="e">
        <f>VLOOKUP(L25,마스터!S:T,2,0)</f>
        <v>#N/A</v>
      </c>
      <c r="N25" s="23" t="str">
        <f>IFERROR(VLOOKUP(B25,마스터!$A$2:$B$8,2,0),"")</f>
        <v/>
      </c>
      <c r="O25" s="23" t="e">
        <f>VLOOKUP(N25,마스터!$B$1:$G$8,2,0)</f>
        <v>#N/A</v>
      </c>
      <c r="P25" s="23">
        <f t="shared" si="2"/>
        <v>0</v>
      </c>
      <c r="Q25" s="29">
        <f t="shared" si="3"/>
        <v>0</v>
      </c>
      <c r="R25" s="29">
        <f t="shared" si="4"/>
        <v>0</v>
      </c>
    </row>
    <row r="26" spans="10:18" ht="13.2" customHeight="1">
      <c r="J26" s="26">
        <f t="shared" si="0"/>
        <v>81032000</v>
      </c>
      <c r="K26" s="22"/>
      <c r="L26" s="23" t="str">
        <f>IFERROR(VLOOKUP(D26,마스터!$R$4:$S$40,2,0),"")</f>
        <v/>
      </c>
      <c r="M26" s="23" t="e">
        <f>VLOOKUP(L26,마스터!S:T,2,0)</f>
        <v>#N/A</v>
      </c>
      <c r="N26" s="23" t="str">
        <f>IFERROR(VLOOKUP(B26,마스터!$A$2:$B$8,2,0),"")</f>
        <v/>
      </c>
      <c r="O26" s="23" t="e">
        <f>VLOOKUP(N26,마스터!$B$1:$G$8,2,0)</f>
        <v>#N/A</v>
      </c>
      <c r="P26" s="23">
        <f t="shared" si="2"/>
        <v>0</v>
      </c>
      <c r="Q26" s="29">
        <f t="shared" si="3"/>
        <v>0</v>
      </c>
      <c r="R26" s="29">
        <f t="shared" si="4"/>
        <v>0</v>
      </c>
    </row>
    <row r="27" spans="10:18" ht="13.2" customHeight="1">
      <c r="J27" s="26">
        <f t="shared" si="0"/>
        <v>81032000</v>
      </c>
      <c r="K27" s="22"/>
      <c r="L27" s="23" t="str">
        <f>IFERROR(VLOOKUP(D27,마스터!$R$4:$S$40,2,0),"")</f>
        <v/>
      </c>
      <c r="M27" s="23" t="e">
        <f>VLOOKUP(L27,마스터!S:T,2,0)</f>
        <v>#N/A</v>
      </c>
      <c r="N27" s="23" t="str">
        <f>IFERROR(VLOOKUP(B27,마스터!$A$2:$B$8,2,0),"")</f>
        <v/>
      </c>
      <c r="O27" s="23" t="e">
        <f>VLOOKUP(N27,마스터!$B$1:$G$8,2,0)</f>
        <v>#N/A</v>
      </c>
      <c r="P27" s="23">
        <f t="shared" si="2"/>
        <v>0</v>
      </c>
      <c r="Q27" s="29">
        <f t="shared" si="3"/>
        <v>0</v>
      </c>
      <c r="R27" s="29">
        <f t="shared" si="4"/>
        <v>0</v>
      </c>
    </row>
    <row r="28" spans="10:18" ht="13.2" customHeight="1">
      <c r="J28" s="26">
        <f t="shared" si="0"/>
        <v>81032000</v>
      </c>
      <c r="K28" s="22"/>
      <c r="L28" s="23" t="str">
        <f>IFERROR(VLOOKUP(D28,마스터!$R$4:$S$40,2,0),"")</f>
        <v/>
      </c>
      <c r="M28" s="23" t="e">
        <f>VLOOKUP(L28,마스터!S:T,2,0)</f>
        <v>#N/A</v>
      </c>
      <c r="N28" s="23" t="str">
        <f>IFERROR(VLOOKUP(B28,마스터!$A$2:$B$8,2,0),"")</f>
        <v/>
      </c>
      <c r="O28" s="23" t="e">
        <f>VLOOKUP(N28,마스터!$B$1:$G$8,2,0)</f>
        <v>#N/A</v>
      </c>
      <c r="P28" s="23">
        <f t="shared" si="2"/>
        <v>0</v>
      </c>
      <c r="Q28" s="29">
        <f t="shared" si="3"/>
        <v>0</v>
      </c>
      <c r="R28" s="29">
        <f t="shared" si="4"/>
        <v>0</v>
      </c>
    </row>
    <row r="29" spans="10:18" ht="13.2" customHeight="1">
      <c r="J29" s="26">
        <f t="shared" si="0"/>
        <v>81032000</v>
      </c>
      <c r="K29" s="22"/>
      <c r="L29" s="23" t="str">
        <f>IFERROR(VLOOKUP(D29,마스터!$R$4:$S$80,2,0),"")</f>
        <v/>
      </c>
      <c r="M29" s="23" t="e">
        <f>VLOOKUP(L29,마스터!S:T,2,0)</f>
        <v>#N/A</v>
      </c>
      <c r="N29" s="23" t="str">
        <f>IFERROR(VLOOKUP(B29,마스터!$A$2:$B$8,2,0),"")</f>
        <v/>
      </c>
      <c r="O29" s="23" t="e">
        <f>VLOOKUP(N29,마스터!$B$1:$G$8,2,0)</f>
        <v>#N/A</v>
      </c>
      <c r="P29" s="23">
        <f t="shared" si="2"/>
        <v>0</v>
      </c>
      <c r="Q29" s="29">
        <f t="shared" si="3"/>
        <v>0</v>
      </c>
      <c r="R29" s="29">
        <f t="shared" si="4"/>
        <v>0</v>
      </c>
    </row>
    <row r="30" spans="10:18" ht="13.05" customHeight="1">
      <c r="J30" s="26">
        <f t="shared" si="0"/>
        <v>81032000</v>
      </c>
      <c r="K30" s="22"/>
      <c r="L30" s="23" t="str">
        <f>IFERROR(VLOOKUP(D30,마스터!$R$4:$S$80,2,0),"")</f>
        <v/>
      </c>
      <c r="M30" s="23" t="e">
        <f>VLOOKUP(L30,마스터!S:T,2,0)</f>
        <v>#N/A</v>
      </c>
      <c r="N30" s="23" t="str">
        <f>IFERROR(VLOOKUP(B30,마스터!$A$2:$B$8,2,0),"")</f>
        <v/>
      </c>
      <c r="O30" s="23" t="e">
        <f>VLOOKUP(N30,마스터!$B$1:$G$8,2,0)</f>
        <v>#N/A</v>
      </c>
      <c r="P30" s="23">
        <f t="shared" si="2"/>
        <v>0</v>
      </c>
      <c r="Q30" s="29">
        <f t="shared" si="3"/>
        <v>0</v>
      </c>
      <c r="R30" s="29">
        <f t="shared" si="4"/>
        <v>0</v>
      </c>
    </row>
    <row r="31" spans="10:18" ht="13.05" customHeight="1">
      <c r="J31" s="26">
        <f t="shared" si="0"/>
        <v>81032000</v>
      </c>
      <c r="K31" s="22"/>
      <c r="L31" s="23" t="str">
        <f>IFERROR(VLOOKUP(D31,마스터!$R$4:$S$80,2,0),"")</f>
        <v/>
      </c>
      <c r="M31" s="23" t="e">
        <f>VLOOKUP(L31,마스터!S:T,2,0)</f>
        <v>#N/A</v>
      </c>
      <c r="N31" s="23" t="str">
        <f>IFERROR(VLOOKUP(B31,마스터!$A$2:$B$8,2,0),"")</f>
        <v/>
      </c>
      <c r="O31" s="23" t="e">
        <f>VLOOKUP(N31,마스터!$B$1:$G$8,2,0)</f>
        <v>#N/A</v>
      </c>
      <c r="P31" s="23">
        <f t="shared" si="2"/>
        <v>0</v>
      </c>
      <c r="Q31" s="29">
        <f t="shared" si="3"/>
        <v>0</v>
      </c>
      <c r="R31" s="29">
        <f t="shared" si="4"/>
        <v>0</v>
      </c>
    </row>
    <row r="32" spans="10:18" ht="13.2" customHeight="1">
      <c r="J32" s="26">
        <f t="shared" si="0"/>
        <v>81032000</v>
      </c>
      <c r="K32" s="22"/>
      <c r="L32" s="23" t="str">
        <f>IFERROR(VLOOKUP(D32,마스터!$R$4:$S$80,2,0),"")</f>
        <v/>
      </c>
      <c r="M32" s="23" t="e">
        <f>VLOOKUP(L32,마스터!S:T,2,0)</f>
        <v>#N/A</v>
      </c>
      <c r="N32" s="23" t="str">
        <f>IFERROR(VLOOKUP(B32,마스터!$A$2:$B$8,2,0),"")</f>
        <v/>
      </c>
      <c r="O32" s="23" t="e">
        <f>VLOOKUP(N32,마스터!$B$1:$G$8,2,0)</f>
        <v>#N/A</v>
      </c>
      <c r="P32" s="23">
        <f t="shared" si="2"/>
        <v>0</v>
      </c>
      <c r="Q32" s="29">
        <f t="shared" si="3"/>
        <v>0</v>
      </c>
      <c r="R32" s="29">
        <f t="shared" si="4"/>
        <v>0</v>
      </c>
    </row>
    <row r="33" spans="10:18" ht="13.2" customHeight="1">
      <c r="J33" s="26">
        <f t="shared" si="0"/>
        <v>81032000</v>
      </c>
      <c r="K33" s="22"/>
      <c r="L33" s="23" t="str">
        <f>IFERROR(VLOOKUP(D33,마스터!$R$4:$S$80,2,0),"")</f>
        <v/>
      </c>
      <c r="M33" s="23" t="e">
        <f>VLOOKUP(L33,마스터!S:T,2,0)</f>
        <v>#N/A</v>
      </c>
      <c r="N33" s="23" t="str">
        <f>IFERROR(VLOOKUP(B33,마스터!$A$2:$B$8,2,0),"")</f>
        <v/>
      </c>
      <c r="O33" s="23" t="e">
        <f>VLOOKUP(N33,마스터!$B$1:$G$8,2,0)</f>
        <v>#N/A</v>
      </c>
      <c r="P33" s="23">
        <f t="shared" si="2"/>
        <v>0</v>
      </c>
      <c r="Q33" s="29">
        <f t="shared" si="3"/>
        <v>0</v>
      </c>
      <c r="R33" s="29">
        <f t="shared" si="4"/>
        <v>0</v>
      </c>
    </row>
    <row r="34" spans="10:18" ht="13.2" customHeight="1">
      <c r="J34" s="26">
        <f t="shared" si="0"/>
        <v>81032000</v>
      </c>
      <c r="K34" s="22"/>
      <c r="L34" s="23" t="str">
        <f>IFERROR(VLOOKUP(D34,마스터!$R$4:$S$40,2,0),"")</f>
        <v/>
      </c>
      <c r="M34" s="23" t="e">
        <f>VLOOKUP(L34,마스터!S:T,2,0)</f>
        <v>#N/A</v>
      </c>
      <c r="N34" s="23" t="str">
        <f>IFERROR(VLOOKUP(B34,마스터!$A$2:$B$8,2,0),"")</f>
        <v/>
      </c>
      <c r="O34" s="23" t="e">
        <f>VLOOKUP(N34,마스터!$B$1:$G$8,2,0)</f>
        <v>#N/A</v>
      </c>
      <c r="P34" s="23">
        <f t="shared" si="2"/>
        <v>0</v>
      </c>
      <c r="Q34" s="29">
        <f t="shared" si="3"/>
        <v>0</v>
      </c>
      <c r="R34" s="29">
        <f t="shared" si="4"/>
        <v>0</v>
      </c>
    </row>
    <row r="35" spans="10:18" ht="13.2" customHeight="1">
      <c r="J35" s="26">
        <f t="shared" si="0"/>
        <v>81032000</v>
      </c>
      <c r="K35" s="22"/>
      <c r="L35" s="23" t="str">
        <f>IFERROR(VLOOKUP(D35,마스터!$R$4:$S$40,2,0),"")</f>
        <v/>
      </c>
      <c r="M35" s="23" t="e">
        <f>VLOOKUP(L35,마스터!S:T,2,0)</f>
        <v>#N/A</v>
      </c>
      <c r="N35" s="23" t="str">
        <f>IFERROR(VLOOKUP(B35,마스터!$A$2:$B$8,2,0),"")</f>
        <v/>
      </c>
      <c r="O35" s="23" t="e">
        <f>VLOOKUP(N35,마스터!$B$1:$G$8,2,0)</f>
        <v>#N/A</v>
      </c>
      <c r="P35" s="23">
        <f t="shared" si="2"/>
        <v>0</v>
      </c>
      <c r="Q35" s="29">
        <f t="shared" si="3"/>
        <v>0</v>
      </c>
      <c r="R35" s="29">
        <f t="shared" si="4"/>
        <v>0</v>
      </c>
    </row>
    <row r="36" spans="10:18" ht="13.2" customHeight="1">
      <c r="J36" s="26">
        <f t="shared" si="0"/>
        <v>81032000</v>
      </c>
      <c r="K36" s="22"/>
      <c r="L36" s="23" t="str">
        <f>IFERROR(VLOOKUP(D36,마스터!$R$4:$S$80,2,0),"")</f>
        <v/>
      </c>
      <c r="M36" s="23" t="e">
        <f>VLOOKUP(L36,마스터!S:T,2,0)</f>
        <v>#N/A</v>
      </c>
      <c r="N36" s="23" t="str">
        <f>IFERROR(VLOOKUP(B36,마스터!$A$2:$B$8,2,0),"")</f>
        <v/>
      </c>
      <c r="O36" s="23" t="e">
        <f>VLOOKUP(N36,마스터!$B$1:$G$8,2,0)</f>
        <v>#N/A</v>
      </c>
      <c r="P36" s="23">
        <f t="shared" si="2"/>
        <v>0</v>
      </c>
      <c r="Q36" s="29">
        <f t="shared" si="3"/>
        <v>0</v>
      </c>
      <c r="R36" s="29">
        <f t="shared" si="4"/>
        <v>0</v>
      </c>
    </row>
    <row r="37" spans="10:18">
      <c r="J37" s="26">
        <f t="shared" si="0"/>
        <v>81032000</v>
      </c>
      <c r="K37" s="22"/>
      <c r="L37" s="23" t="str">
        <f>IFERROR(VLOOKUP(D37,마스터!$R$4:$S$80,2,0),"")</f>
        <v/>
      </c>
      <c r="M37" s="23" t="e">
        <f>VLOOKUP(L37,마스터!S:T,2,0)</f>
        <v>#N/A</v>
      </c>
      <c r="N37" s="23" t="str">
        <f>IFERROR(VLOOKUP(B37,마스터!$A$2:$B$8,2,0),"")</f>
        <v/>
      </c>
      <c r="O37" s="23" t="e">
        <f>VLOOKUP(N37,마스터!$B$1:$G$8,2,0)</f>
        <v>#N/A</v>
      </c>
      <c r="P37" s="23">
        <f t="shared" ref="P37:P100" si="5">IFERROR(F37*G37,"")</f>
        <v>0</v>
      </c>
      <c r="Q37" s="29">
        <f t="shared" ref="Q37:Q100" si="6">H37</f>
        <v>0</v>
      </c>
      <c r="R37" s="29">
        <f t="shared" ref="R37:R100" si="7">I37</f>
        <v>0</v>
      </c>
    </row>
    <row r="38" spans="10:18" ht="13.2" customHeight="1">
      <c r="J38" s="26">
        <f t="shared" si="0"/>
        <v>81032000</v>
      </c>
      <c r="K38" s="22"/>
      <c r="L38" s="23" t="str">
        <f>IFERROR(VLOOKUP(D38,마스터!$R$4:$S$80,2,0),"")</f>
        <v/>
      </c>
      <c r="M38" s="23" t="e">
        <f>VLOOKUP(L38,마스터!S:T,2,0)</f>
        <v>#N/A</v>
      </c>
      <c r="N38" s="23" t="str">
        <f>IFERROR(VLOOKUP(B38,마스터!$A$2:$B$8,2,0),"")</f>
        <v/>
      </c>
      <c r="O38" s="23" t="e">
        <f>VLOOKUP(N38,마스터!$B$1:$G$8,2,0)</f>
        <v>#N/A</v>
      </c>
      <c r="P38" s="23">
        <f t="shared" si="5"/>
        <v>0</v>
      </c>
      <c r="Q38" s="29">
        <f t="shared" si="6"/>
        <v>0</v>
      </c>
      <c r="R38" s="29">
        <f t="shared" si="7"/>
        <v>0</v>
      </c>
    </row>
    <row r="39" spans="10:18" ht="13.2" customHeight="1">
      <c r="J39" s="26">
        <f t="shared" si="0"/>
        <v>81032000</v>
      </c>
      <c r="K39" s="22"/>
      <c r="L39" s="23" t="str">
        <f>IFERROR(VLOOKUP(D39,마스터!$R$4:$S$80,2,0),"")</f>
        <v/>
      </c>
      <c r="M39" s="23" t="e">
        <f>VLOOKUP(L39,마스터!S:T,2,0)</f>
        <v>#N/A</v>
      </c>
      <c r="N39" s="23" t="str">
        <f>IFERROR(VLOOKUP(B39,마스터!$A$2:$B$8,2,0),"")</f>
        <v/>
      </c>
      <c r="O39" s="23" t="e">
        <f>VLOOKUP(N39,마스터!$B$1:$G$8,2,0)</f>
        <v>#N/A</v>
      </c>
      <c r="P39" s="23">
        <f t="shared" si="5"/>
        <v>0</v>
      </c>
      <c r="Q39" s="29">
        <f t="shared" si="6"/>
        <v>0</v>
      </c>
      <c r="R39" s="29">
        <f t="shared" si="7"/>
        <v>0</v>
      </c>
    </row>
    <row r="40" spans="10:18" ht="13.2" customHeight="1">
      <c r="J40" s="26">
        <f t="shared" si="0"/>
        <v>81032000</v>
      </c>
      <c r="K40" s="22"/>
      <c r="L40" s="23" t="str">
        <f>IFERROR(VLOOKUP(D40,마스터!$R$4:$S$80,2,0),"")</f>
        <v/>
      </c>
      <c r="M40" s="23" t="e">
        <f>VLOOKUP(L40,마스터!S:T,2,0)</f>
        <v>#N/A</v>
      </c>
      <c r="N40" s="23" t="str">
        <f>IFERROR(VLOOKUP(B40,마스터!$A$2:$B$8,2,0),"")</f>
        <v/>
      </c>
      <c r="O40" s="23" t="e">
        <f>VLOOKUP(N40,마스터!$B$1:$G$8,2,0)</f>
        <v>#N/A</v>
      </c>
      <c r="P40" s="23">
        <f t="shared" si="5"/>
        <v>0</v>
      </c>
      <c r="Q40" s="29">
        <f t="shared" si="6"/>
        <v>0</v>
      </c>
      <c r="R40" s="29">
        <f t="shared" si="7"/>
        <v>0</v>
      </c>
    </row>
    <row r="41" spans="10:18" ht="13.2" customHeight="1">
      <c r="J41" s="26">
        <f t="shared" si="0"/>
        <v>81032000</v>
      </c>
      <c r="K41" s="22"/>
      <c r="L41" s="23" t="str">
        <f>IFERROR(VLOOKUP(D41,마스터!$R$4:$S$80,2,0),"")</f>
        <v/>
      </c>
      <c r="M41" s="23" t="e">
        <f>VLOOKUP(L41,마스터!S:T,2,0)</f>
        <v>#N/A</v>
      </c>
      <c r="N41" s="23" t="str">
        <f>IFERROR(VLOOKUP(B41,마스터!$A$2:$B$8,2,0),"")</f>
        <v/>
      </c>
      <c r="O41" s="23" t="e">
        <f>VLOOKUP(N41,마스터!$B$1:$G$8,2,0)</f>
        <v>#N/A</v>
      </c>
      <c r="P41" s="23">
        <f t="shared" si="5"/>
        <v>0</v>
      </c>
      <c r="Q41" s="29">
        <f t="shared" si="6"/>
        <v>0</v>
      </c>
      <c r="R41" s="29">
        <f t="shared" si="7"/>
        <v>0</v>
      </c>
    </row>
    <row r="42" spans="10:18" ht="13.2" customHeight="1">
      <c r="J42" s="26">
        <f t="shared" si="0"/>
        <v>81032000</v>
      </c>
      <c r="K42" s="22"/>
      <c r="L42" s="23" t="str">
        <f>IFERROR(VLOOKUP(D42,마스터!$R$4:$S$40,2,0),"")</f>
        <v/>
      </c>
      <c r="M42" s="23" t="e">
        <f>VLOOKUP(L42,마스터!S:T,2,0)</f>
        <v>#N/A</v>
      </c>
      <c r="N42" s="23" t="str">
        <f>IFERROR(VLOOKUP(B42,마스터!$A$2:$B$8,2,0),"")</f>
        <v/>
      </c>
      <c r="O42" s="23" t="e">
        <f>VLOOKUP(N42,마스터!$B$1:$G$8,2,0)</f>
        <v>#N/A</v>
      </c>
      <c r="P42" s="23">
        <f t="shared" si="5"/>
        <v>0</v>
      </c>
      <c r="Q42" s="29">
        <f t="shared" si="6"/>
        <v>0</v>
      </c>
      <c r="R42" s="29">
        <f t="shared" si="7"/>
        <v>0</v>
      </c>
    </row>
    <row r="43" spans="10:18" ht="13.2" customHeight="1">
      <c r="J43" s="26">
        <f t="shared" si="0"/>
        <v>81032000</v>
      </c>
      <c r="K43" s="22"/>
      <c r="L43" s="23" t="str">
        <f>IFERROR(VLOOKUP(D43,마스터!$R$4:$S$80,2,0),"")</f>
        <v/>
      </c>
      <c r="M43" s="23" t="e">
        <f>VLOOKUP(L43,마스터!S:T,2,0)</f>
        <v>#N/A</v>
      </c>
      <c r="N43" s="23" t="str">
        <f>IFERROR(VLOOKUP(B43,마스터!$A$2:$B$8,2,0),"")</f>
        <v/>
      </c>
      <c r="O43" s="23" t="e">
        <f>VLOOKUP(N43,마스터!$B$1:$G$8,2,0)</f>
        <v>#N/A</v>
      </c>
      <c r="P43" s="23">
        <f t="shared" si="5"/>
        <v>0</v>
      </c>
      <c r="Q43" s="29">
        <f t="shared" si="6"/>
        <v>0</v>
      </c>
      <c r="R43" s="29">
        <f t="shared" si="7"/>
        <v>0</v>
      </c>
    </row>
    <row r="44" spans="10:18">
      <c r="J44" s="26">
        <f t="shared" si="0"/>
        <v>81032000</v>
      </c>
      <c r="K44" s="22"/>
      <c r="L44" s="23" t="str">
        <f>IFERROR(VLOOKUP(D44,마스터!$R$4:$S$59,2,0),"")</f>
        <v/>
      </c>
      <c r="M44" s="23" t="e">
        <f>VLOOKUP(L44,마스터!S:T,2,0)</f>
        <v>#N/A</v>
      </c>
      <c r="N44" s="23" t="str">
        <f>IFERROR(VLOOKUP(B44,마스터!$A$2:$B$8,2,0),"")</f>
        <v/>
      </c>
      <c r="O44" s="23" t="e">
        <f>VLOOKUP(N44,마스터!$B$1:$G$8,2,0)</f>
        <v>#N/A</v>
      </c>
      <c r="P44" s="23">
        <f t="shared" si="5"/>
        <v>0</v>
      </c>
      <c r="Q44" s="29">
        <f t="shared" si="6"/>
        <v>0</v>
      </c>
      <c r="R44" s="29">
        <f t="shared" si="7"/>
        <v>0</v>
      </c>
    </row>
    <row r="45" spans="10:18" ht="13.2" customHeight="1">
      <c r="J45" s="26">
        <f t="shared" si="0"/>
        <v>81032000</v>
      </c>
      <c r="K45" s="22"/>
      <c r="L45" s="23" t="str">
        <f>IFERROR(VLOOKUP(D45,마스터!$R$4:$S$59,2,0),"")</f>
        <v/>
      </c>
      <c r="M45" s="23" t="e">
        <f>VLOOKUP(L45,마스터!S:T,2,0)</f>
        <v>#N/A</v>
      </c>
      <c r="N45" s="23" t="str">
        <f>IFERROR(VLOOKUP(B45,마스터!$A$2:$B$8,2,0),"")</f>
        <v/>
      </c>
      <c r="O45" s="23" t="e">
        <f>VLOOKUP(N45,마스터!$B$1:$G$8,2,0)</f>
        <v>#N/A</v>
      </c>
      <c r="P45" s="23">
        <f t="shared" si="5"/>
        <v>0</v>
      </c>
      <c r="Q45" s="29">
        <f t="shared" si="6"/>
        <v>0</v>
      </c>
      <c r="R45" s="29">
        <f t="shared" si="7"/>
        <v>0</v>
      </c>
    </row>
    <row r="46" spans="10:18" ht="13.2" customHeight="1">
      <c r="J46" s="26">
        <f t="shared" si="0"/>
        <v>81032000</v>
      </c>
      <c r="K46" s="22"/>
      <c r="L46" s="23" t="str">
        <f>IFERROR(VLOOKUP(D46,마스터!$R$4:$S$80,2,0),"")</f>
        <v/>
      </c>
      <c r="M46" s="23" t="e">
        <f>VLOOKUP(L46,마스터!S:T,2,0)</f>
        <v>#N/A</v>
      </c>
      <c r="N46" s="23" t="str">
        <f>IFERROR(VLOOKUP(B46,마스터!$A$2:$B$8,2,0),"")</f>
        <v/>
      </c>
      <c r="O46" s="23" t="e">
        <f>VLOOKUP(N46,마스터!$B$1:$G$8,2,0)</f>
        <v>#N/A</v>
      </c>
      <c r="P46" s="23">
        <f t="shared" si="5"/>
        <v>0</v>
      </c>
      <c r="Q46" s="29">
        <f t="shared" si="6"/>
        <v>0</v>
      </c>
      <c r="R46" s="29">
        <f t="shared" si="7"/>
        <v>0</v>
      </c>
    </row>
    <row r="47" spans="10:18" ht="13.2" customHeight="1">
      <c r="J47" s="26">
        <f t="shared" si="0"/>
        <v>81032000</v>
      </c>
      <c r="K47" s="22"/>
      <c r="L47" s="23" t="str">
        <f>IFERROR(VLOOKUP(D47,마스터!$R$4:$S$80,2,0),"")</f>
        <v/>
      </c>
      <c r="M47" s="23" t="e">
        <f>VLOOKUP(L47,마스터!S:T,2,0)</f>
        <v>#N/A</v>
      </c>
      <c r="N47" s="23" t="str">
        <f>IFERROR(VLOOKUP(B47,마스터!$A$2:$B$8,2,0),"")</f>
        <v/>
      </c>
      <c r="O47" s="23" t="e">
        <f>VLOOKUP(N47,마스터!$B$1:$G$8,2,0)</f>
        <v>#N/A</v>
      </c>
      <c r="P47" s="23">
        <f t="shared" si="5"/>
        <v>0</v>
      </c>
      <c r="Q47" s="29">
        <f t="shared" si="6"/>
        <v>0</v>
      </c>
      <c r="R47" s="29">
        <f t="shared" si="7"/>
        <v>0</v>
      </c>
    </row>
    <row r="48" spans="10:18" ht="13.2" customHeight="1">
      <c r="J48" s="26">
        <f t="shared" si="0"/>
        <v>81032000</v>
      </c>
      <c r="K48" s="22"/>
      <c r="L48" s="23" t="str">
        <f>IFERROR(VLOOKUP(D48,마스터!$R$4:$S$80,2,0),"")</f>
        <v/>
      </c>
      <c r="M48" s="23" t="e">
        <f>VLOOKUP(L48,마스터!S:T,2,0)</f>
        <v>#N/A</v>
      </c>
      <c r="N48" s="23" t="str">
        <f>IFERROR(VLOOKUP(B48,마스터!$A$2:$B$8,2,0),"")</f>
        <v/>
      </c>
      <c r="O48" s="23" t="e">
        <f>VLOOKUP(N48,마스터!$B$1:$G$8,2,0)</f>
        <v>#N/A</v>
      </c>
      <c r="P48" s="23">
        <f t="shared" si="5"/>
        <v>0</v>
      </c>
      <c r="Q48" s="29">
        <f t="shared" si="6"/>
        <v>0</v>
      </c>
      <c r="R48" s="29">
        <f t="shared" si="7"/>
        <v>0</v>
      </c>
    </row>
    <row r="49" spans="10:18" ht="13.2" customHeight="1">
      <c r="J49" s="26">
        <f t="shared" si="0"/>
        <v>81032000</v>
      </c>
      <c r="K49" s="22"/>
      <c r="L49" s="23" t="str">
        <f>IFERROR(VLOOKUP(D49,마스터!$R$4:$S$80,2,0),"")</f>
        <v/>
      </c>
      <c r="M49" s="23" t="e">
        <f>VLOOKUP(L49,마스터!S:T,2,0)</f>
        <v>#N/A</v>
      </c>
      <c r="N49" s="23" t="str">
        <f>IFERROR(VLOOKUP(B49,마스터!$A$2:$B$8,2,0),"")</f>
        <v/>
      </c>
      <c r="O49" s="23" t="e">
        <f>VLOOKUP(N49,마스터!$B$1:$G$8,2,0)</f>
        <v>#N/A</v>
      </c>
      <c r="P49" s="23">
        <f t="shared" si="5"/>
        <v>0</v>
      </c>
      <c r="Q49" s="29">
        <f t="shared" si="6"/>
        <v>0</v>
      </c>
      <c r="R49" s="29">
        <f t="shared" si="7"/>
        <v>0</v>
      </c>
    </row>
    <row r="50" spans="10:18" ht="13.2" customHeight="1">
      <c r="J50" s="26">
        <f t="shared" si="0"/>
        <v>81032000</v>
      </c>
      <c r="K50" s="22"/>
      <c r="L50" s="23" t="str">
        <f>IFERROR(VLOOKUP(D50,마스터!$R$4:$S$80,2,0),"")</f>
        <v/>
      </c>
      <c r="M50" s="23" t="e">
        <f>VLOOKUP(L50,마스터!S:T,2,0)</f>
        <v>#N/A</v>
      </c>
      <c r="N50" s="23" t="str">
        <f>IFERROR(VLOOKUP(B50,마스터!$A$2:$B$8,2,0),"")</f>
        <v/>
      </c>
      <c r="O50" s="23" t="e">
        <f>VLOOKUP(N50,마스터!$B$1:$G$8,2,0)</f>
        <v>#N/A</v>
      </c>
      <c r="P50" s="23">
        <f t="shared" si="5"/>
        <v>0</v>
      </c>
      <c r="Q50" s="29">
        <f t="shared" si="6"/>
        <v>0</v>
      </c>
      <c r="R50" s="29">
        <f t="shared" si="7"/>
        <v>0</v>
      </c>
    </row>
    <row r="51" spans="10:18" ht="13.2" customHeight="1">
      <c r="J51" s="26">
        <f t="shared" si="0"/>
        <v>81032000</v>
      </c>
      <c r="K51" s="22"/>
      <c r="L51" s="23" t="str">
        <f>IFERROR(VLOOKUP(D51,마스터!$R$4:$S$60,2,0),"")</f>
        <v/>
      </c>
      <c r="M51" s="23" t="e">
        <f>VLOOKUP(L51,마스터!S:T,2,0)</f>
        <v>#N/A</v>
      </c>
      <c r="N51" s="23" t="str">
        <f>IFERROR(VLOOKUP(B51,마스터!$A$2:$B$8,2,0),"")</f>
        <v/>
      </c>
      <c r="O51" s="23" t="e">
        <f>VLOOKUP(N51,마스터!$B$1:$G$8,2,0)</f>
        <v>#N/A</v>
      </c>
      <c r="P51" s="23">
        <f t="shared" si="5"/>
        <v>0</v>
      </c>
      <c r="Q51" s="29">
        <f t="shared" si="6"/>
        <v>0</v>
      </c>
      <c r="R51" s="29">
        <f t="shared" si="7"/>
        <v>0</v>
      </c>
    </row>
    <row r="52" spans="10:18" ht="13.2" customHeight="1">
      <c r="J52" s="26">
        <f t="shared" si="0"/>
        <v>81032000</v>
      </c>
      <c r="K52" s="22"/>
      <c r="L52" s="23" t="str">
        <f>IFERROR(VLOOKUP(D52,마스터!$R$4:$S$59,2,0),"")</f>
        <v/>
      </c>
      <c r="M52" s="23" t="e">
        <f>VLOOKUP(L52,마스터!S:T,2,0)</f>
        <v>#N/A</v>
      </c>
      <c r="N52" s="23" t="str">
        <f>IFERROR(VLOOKUP(B52,마스터!$A$2:$B$8,2,0),"")</f>
        <v/>
      </c>
      <c r="O52" s="23" t="e">
        <f>VLOOKUP(N52,마스터!$B$1:$G$8,2,0)</f>
        <v>#N/A</v>
      </c>
      <c r="P52" s="23">
        <f t="shared" si="5"/>
        <v>0</v>
      </c>
      <c r="Q52" s="29">
        <f t="shared" si="6"/>
        <v>0</v>
      </c>
      <c r="R52" s="29">
        <f t="shared" si="7"/>
        <v>0</v>
      </c>
    </row>
    <row r="53" spans="10:18" ht="13.2" customHeight="1">
      <c r="J53" s="26">
        <f t="shared" si="0"/>
        <v>81032000</v>
      </c>
      <c r="K53" s="22"/>
      <c r="L53" s="23" t="str">
        <f>IFERROR(VLOOKUP(D53,마스터!$R$4:$S$59,2,0),"")</f>
        <v/>
      </c>
      <c r="M53" s="23" t="e">
        <f>VLOOKUP(L53,마스터!S:T,2,0)</f>
        <v>#N/A</v>
      </c>
      <c r="N53" s="23" t="str">
        <f>IFERROR(VLOOKUP(B53,마스터!$A$2:$B$8,2,0),"")</f>
        <v/>
      </c>
      <c r="O53" s="23" t="e">
        <f>VLOOKUP(N53,마스터!$B$1:$G$8,2,0)</f>
        <v>#N/A</v>
      </c>
      <c r="P53" s="23">
        <f t="shared" si="5"/>
        <v>0</v>
      </c>
      <c r="Q53" s="29">
        <f t="shared" si="6"/>
        <v>0</v>
      </c>
      <c r="R53" s="29">
        <f t="shared" si="7"/>
        <v>0</v>
      </c>
    </row>
    <row r="54" spans="10:18" ht="13.2" customHeight="1">
      <c r="J54" s="26">
        <f t="shared" si="0"/>
        <v>81032000</v>
      </c>
      <c r="K54" s="22"/>
      <c r="L54" s="23" t="str">
        <f>IFERROR(VLOOKUP(D54,마스터!$R$4:$S$80,2,0),"")</f>
        <v/>
      </c>
      <c r="M54" s="23" t="e">
        <f>VLOOKUP(L54,마스터!S:T,2,0)</f>
        <v>#N/A</v>
      </c>
      <c r="N54" s="23" t="str">
        <f>IFERROR(VLOOKUP(B54,마스터!$A$2:$B$8,2,0),"")</f>
        <v/>
      </c>
      <c r="O54" s="23" t="e">
        <f>VLOOKUP(N54,마스터!$B$1:$G$8,2,0)</f>
        <v>#N/A</v>
      </c>
      <c r="P54" s="23">
        <f t="shared" si="5"/>
        <v>0</v>
      </c>
      <c r="Q54" s="29">
        <f t="shared" si="6"/>
        <v>0</v>
      </c>
      <c r="R54" s="29">
        <f t="shared" si="7"/>
        <v>0</v>
      </c>
    </row>
    <row r="55" spans="10:18" ht="13.2" customHeight="1">
      <c r="J55" s="26">
        <f t="shared" si="0"/>
        <v>81032000</v>
      </c>
      <c r="K55" s="22"/>
      <c r="L55" s="23" t="str">
        <f>IFERROR(VLOOKUP(D55,마스터!$R$4:$S$80,2,0),"")</f>
        <v/>
      </c>
      <c r="M55" s="23" t="e">
        <f>VLOOKUP(L55,마스터!S:T,2,0)</f>
        <v>#N/A</v>
      </c>
      <c r="N55" s="23" t="str">
        <f>IFERROR(VLOOKUP(B55,마스터!$A$2:$B$8,2,0),"")</f>
        <v/>
      </c>
      <c r="O55" s="23" t="e">
        <f>VLOOKUP(N55,마스터!$B$1:$G$8,2,0)</f>
        <v>#N/A</v>
      </c>
      <c r="P55" s="23">
        <f t="shared" si="5"/>
        <v>0</v>
      </c>
      <c r="Q55" s="29">
        <f t="shared" si="6"/>
        <v>0</v>
      </c>
      <c r="R55" s="29">
        <f t="shared" si="7"/>
        <v>0</v>
      </c>
    </row>
    <row r="56" spans="10:18" ht="13.2" customHeight="1">
      <c r="J56" s="26">
        <f t="shared" si="0"/>
        <v>81032000</v>
      </c>
      <c r="K56" s="22"/>
      <c r="L56" s="23" t="str">
        <f>IFERROR(VLOOKUP(D56,마스터!$R$4:$S$80,2,0),"")</f>
        <v/>
      </c>
      <c r="M56" s="23" t="e">
        <f>VLOOKUP(L56,마스터!S:T,2,0)</f>
        <v>#N/A</v>
      </c>
      <c r="N56" s="23" t="str">
        <f>IFERROR(VLOOKUP(B56,마스터!$A$2:$B$8,2,0),"")</f>
        <v/>
      </c>
      <c r="O56" s="23" t="e">
        <f>VLOOKUP(N56,마스터!$B$1:$G$8,2,0)</f>
        <v>#N/A</v>
      </c>
      <c r="P56" s="23">
        <f t="shared" si="5"/>
        <v>0</v>
      </c>
      <c r="Q56" s="29">
        <f t="shared" si="6"/>
        <v>0</v>
      </c>
      <c r="R56" s="29">
        <f t="shared" si="7"/>
        <v>0</v>
      </c>
    </row>
    <row r="57" spans="10:18" ht="13.2" customHeight="1">
      <c r="J57" s="26">
        <f t="shared" si="0"/>
        <v>81032000</v>
      </c>
      <c r="K57" s="22"/>
      <c r="L57" s="23" t="str">
        <f>IFERROR(VLOOKUP(D57,마스터!$R$4:$S$80,2,0),"")</f>
        <v/>
      </c>
      <c r="M57" s="23" t="e">
        <f>VLOOKUP(L57,마스터!S:T,2,0)</f>
        <v>#N/A</v>
      </c>
      <c r="N57" s="23" t="str">
        <f>IFERROR(VLOOKUP(B57,마스터!$A$2:$B$8,2,0),"")</f>
        <v/>
      </c>
      <c r="O57" s="23" t="e">
        <f>VLOOKUP(N57,마스터!$B$1:$G$8,2,0)</f>
        <v>#N/A</v>
      </c>
      <c r="P57" s="23">
        <f t="shared" si="5"/>
        <v>0</v>
      </c>
      <c r="Q57" s="29">
        <f t="shared" si="6"/>
        <v>0</v>
      </c>
      <c r="R57" s="29">
        <f t="shared" si="7"/>
        <v>0</v>
      </c>
    </row>
    <row r="58" spans="10:18" ht="13.2" customHeight="1">
      <c r="J58" s="26">
        <f t="shared" si="0"/>
        <v>81032000</v>
      </c>
      <c r="K58" s="22"/>
      <c r="L58" s="23" t="str">
        <f>IFERROR(VLOOKUP(D58,마스터!$R$4:$S$40,2,0),"")</f>
        <v/>
      </c>
      <c r="M58" s="23" t="e">
        <f>VLOOKUP(L58,마스터!S:T,2,0)</f>
        <v>#N/A</v>
      </c>
      <c r="N58" s="23" t="str">
        <f>IFERROR(VLOOKUP(B58,마스터!$A$2:$B$8,2,0),"")</f>
        <v/>
      </c>
      <c r="O58" s="23" t="e">
        <f>VLOOKUP(N58,마스터!$B$1:$G$8,2,0)</f>
        <v>#N/A</v>
      </c>
      <c r="P58" s="23">
        <f t="shared" si="5"/>
        <v>0</v>
      </c>
      <c r="Q58" s="29">
        <f t="shared" si="6"/>
        <v>0</v>
      </c>
      <c r="R58" s="29">
        <f t="shared" si="7"/>
        <v>0</v>
      </c>
    </row>
    <row r="59" spans="10:18" ht="13.2" customHeight="1">
      <c r="J59" s="26">
        <f t="shared" si="0"/>
        <v>81032000</v>
      </c>
      <c r="K59" s="22"/>
      <c r="L59" s="23" t="str">
        <f>IFERROR(VLOOKUP(D59,마스터!$R$4:$S$40,2,0),"")</f>
        <v/>
      </c>
      <c r="M59" s="23" t="e">
        <f>VLOOKUP(L59,마스터!S:T,2,0)</f>
        <v>#N/A</v>
      </c>
      <c r="N59" s="23" t="str">
        <f>IFERROR(VLOOKUP(B59,마스터!$A$2:$B$8,2,0),"")</f>
        <v/>
      </c>
      <c r="O59" s="23" t="e">
        <f>VLOOKUP(N59,마스터!$B$1:$G$8,2,0)</f>
        <v>#N/A</v>
      </c>
      <c r="P59" s="23">
        <f t="shared" si="5"/>
        <v>0</v>
      </c>
      <c r="Q59" s="29">
        <f t="shared" si="6"/>
        <v>0</v>
      </c>
      <c r="R59" s="29">
        <f t="shared" si="7"/>
        <v>0</v>
      </c>
    </row>
    <row r="60" spans="10:18" ht="13.2" customHeight="1">
      <c r="J60" s="26">
        <f t="shared" si="0"/>
        <v>81032000</v>
      </c>
      <c r="K60" s="22"/>
      <c r="L60" s="23" t="str">
        <f>IFERROR(VLOOKUP(D60,마스터!$R$4:$S$59,2,0),"")</f>
        <v/>
      </c>
      <c r="M60" s="23" t="e">
        <f>VLOOKUP(L60,마스터!S:T,2,0)</f>
        <v>#N/A</v>
      </c>
      <c r="N60" s="23" t="str">
        <f>IFERROR(VLOOKUP(B60,마스터!$A$2:$B$8,2,0),"")</f>
        <v/>
      </c>
      <c r="O60" s="23" t="e">
        <f>VLOOKUP(N60,마스터!$B$1:$G$8,2,0)</f>
        <v>#N/A</v>
      </c>
      <c r="P60" s="23">
        <f t="shared" si="5"/>
        <v>0</v>
      </c>
      <c r="Q60" s="29">
        <f t="shared" si="6"/>
        <v>0</v>
      </c>
      <c r="R60" s="29">
        <f t="shared" si="7"/>
        <v>0</v>
      </c>
    </row>
    <row r="61" spans="10:18" ht="13.2" customHeight="1">
      <c r="J61" s="26">
        <f t="shared" si="0"/>
        <v>81032000</v>
      </c>
      <c r="K61" s="22"/>
      <c r="L61" s="23" t="str">
        <f>IFERROR(VLOOKUP(D61,마스터!$R$4:$S$59,2,0),"")</f>
        <v/>
      </c>
      <c r="M61" s="23" t="e">
        <f>VLOOKUP(L61,마스터!S:T,2,0)</f>
        <v>#N/A</v>
      </c>
      <c r="N61" s="23" t="str">
        <f>IFERROR(VLOOKUP(B61,마스터!$A$2:$B$8,2,0),"")</f>
        <v/>
      </c>
      <c r="O61" s="23" t="e">
        <f>VLOOKUP(N61,마스터!$B$1:$G$8,2,0)</f>
        <v>#N/A</v>
      </c>
      <c r="P61" s="23">
        <f t="shared" si="5"/>
        <v>0</v>
      </c>
      <c r="Q61" s="29">
        <f t="shared" si="6"/>
        <v>0</v>
      </c>
      <c r="R61" s="29">
        <f t="shared" si="7"/>
        <v>0</v>
      </c>
    </row>
    <row r="62" spans="10:18" ht="13.2" customHeight="1">
      <c r="J62" s="26">
        <f t="shared" si="0"/>
        <v>81032000</v>
      </c>
      <c r="K62" s="22"/>
      <c r="L62" s="23" t="str">
        <f>IFERROR(VLOOKUP(D62,마스터!$R$4:$S$40,2,0),"")</f>
        <v/>
      </c>
      <c r="M62" s="23" t="e">
        <f>VLOOKUP(L62,마스터!S:T,2,0)</f>
        <v>#N/A</v>
      </c>
      <c r="N62" s="23" t="str">
        <f>IFERROR(VLOOKUP(B62,마스터!$A$2:$B$8,2,0),"")</f>
        <v/>
      </c>
      <c r="O62" s="23" t="e">
        <f>VLOOKUP(N62,마스터!$B$1:$G$8,2,0)</f>
        <v>#N/A</v>
      </c>
      <c r="P62" s="23">
        <f t="shared" si="5"/>
        <v>0</v>
      </c>
      <c r="Q62" s="29">
        <f t="shared" si="6"/>
        <v>0</v>
      </c>
      <c r="R62" s="29">
        <f t="shared" si="7"/>
        <v>0</v>
      </c>
    </row>
    <row r="63" spans="10:18" ht="13.2" customHeight="1">
      <c r="J63" s="26">
        <f t="shared" si="0"/>
        <v>81032000</v>
      </c>
      <c r="K63" s="22"/>
      <c r="L63" s="23" t="str">
        <f>IFERROR(VLOOKUP(D63,마스터!$R$4:$S$40,2,0),"")</f>
        <v/>
      </c>
      <c r="M63" s="23" t="e">
        <f>VLOOKUP(L63,마스터!S:T,2,0)</f>
        <v>#N/A</v>
      </c>
      <c r="N63" s="23" t="str">
        <f>IFERROR(VLOOKUP(B63,마스터!$A$2:$B$8,2,0),"")</f>
        <v/>
      </c>
      <c r="O63" s="23" t="e">
        <f>VLOOKUP(N63,마스터!$B$1:$G$8,2,0)</f>
        <v>#N/A</v>
      </c>
      <c r="P63" s="23">
        <f t="shared" si="5"/>
        <v>0</v>
      </c>
      <c r="Q63" s="29">
        <f t="shared" si="6"/>
        <v>0</v>
      </c>
      <c r="R63" s="29">
        <f t="shared" si="7"/>
        <v>0</v>
      </c>
    </row>
    <row r="64" spans="10:18" ht="13.2" customHeight="1">
      <c r="J64" s="26">
        <f t="shared" si="0"/>
        <v>81032000</v>
      </c>
      <c r="K64" s="22"/>
      <c r="L64" s="23" t="str">
        <f>IFERROR(VLOOKUP(D64,마스터!$R$4:$S$80,2,0),"")</f>
        <v/>
      </c>
      <c r="M64" s="23" t="e">
        <f>VLOOKUP(L64,마스터!S:T,2,0)</f>
        <v>#N/A</v>
      </c>
      <c r="N64" s="23" t="str">
        <f>IFERROR(VLOOKUP(B64,마스터!$A$2:$B$8,2,0),"")</f>
        <v/>
      </c>
      <c r="O64" s="23" t="e">
        <f>VLOOKUP(N64,마스터!$B$1:$G$8,2,0)</f>
        <v>#N/A</v>
      </c>
      <c r="P64" s="23">
        <f t="shared" si="5"/>
        <v>0</v>
      </c>
      <c r="Q64" s="29">
        <f t="shared" si="6"/>
        <v>0</v>
      </c>
      <c r="R64" s="29">
        <f t="shared" si="7"/>
        <v>0</v>
      </c>
    </row>
    <row r="65" spans="10:18" ht="13.2" customHeight="1">
      <c r="J65" s="26">
        <f t="shared" si="0"/>
        <v>81032000</v>
      </c>
      <c r="K65" s="22"/>
      <c r="L65" s="23" t="str">
        <f>IFERROR(VLOOKUP(D65,마스터!$R$4:$S$40,2,0),"")</f>
        <v/>
      </c>
      <c r="M65" s="23" t="e">
        <f>VLOOKUP(L65,마스터!S:T,2,0)</f>
        <v>#N/A</v>
      </c>
      <c r="N65" s="23" t="str">
        <f>IFERROR(VLOOKUP(B65,마스터!$A$2:$B$8,2,0),"")</f>
        <v/>
      </c>
      <c r="O65" s="23" t="e">
        <f>VLOOKUP(N65,마스터!$B$1:$G$8,2,0)</f>
        <v>#N/A</v>
      </c>
      <c r="P65" s="23">
        <f t="shared" si="5"/>
        <v>0</v>
      </c>
      <c r="Q65" s="29">
        <f t="shared" si="6"/>
        <v>0</v>
      </c>
      <c r="R65" s="29">
        <f t="shared" si="7"/>
        <v>0</v>
      </c>
    </row>
    <row r="66" spans="10:18" ht="13.2" customHeight="1">
      <c r="J66" s="26">
        <f t="shared" si="0"/>
        <v>81032000</v>
      </c>
      <c r="K66" s="22"/>
      <c r="L66" s="23" t="str">
        <f>IFERROR(VLOOKUP(D66,마스터!$R$4:$S$40,2,0),"")</f>
        <v/>
      </c>
      <c r="M66" s="23" t="e">
        <f>VLOOKUP(L66,마스터!S:T,2,0)</f>
        <v>#N/A</v>
      </c>
      <c r="N66" s="23" t="str">
        <f>IFERROR(VLOOKUP(B66,마스터!$A$2:$B$8,2,0),"")</f>
        <v/>
      </c>
      <c r="O66" s="23" t="e">
        <f>VLOOKUP(N66,마스터!$B$1:$G$8,2,0)</f>
        <v>#N/A</v>
      </c>
      <c r="P66" s="23">
        <f t="shared" si="5"/>
        <v>0</v>
      </c>
      <c r="Q66" s="29">
        <f t="shared" si="6"/>
        <v>0</v>
      </c>
      <c r="R66" s="29">
        <f t="shared" si="7"/>
        <v>0</v>
      </c>
    </row>
    <row r="67" spans="10:18" ht="13.2" customHeight="1">
      <c r="J67" s="26">
        <f t="shared" si="0"/>
        <v>81032000</v>
      </c>
      <c r="K67" s="22"/>
      <c r="L67" s="23" t="str">
        <f>IFERROR(VLOOKUP(D67,마스터!$R$4:$S$40,2,0),"")</f>
        <v/>
      </c>
      <c r="M67" s="23" t="e">
        <f>VLOOKUP(L67,마스터!S:T,2,0)</f>
        <v>#N/A</v>
      </c>
      <c r="N67" s="23" t="str">
        <f>IFERROR(VLOOKUP(B67,마스터!$A$2:$B$8,2,0),"")</f>
        <v/>
      </c>
      <c r="O67" s="23" t="e">
        <f>VLOOKUP(N67,마스터!$B$1:$G$8,2,0)</f>
        <v>#N/A</v>
      </c>
      <c r="P67" s="23">
        <f t="shared" si="5"/>
        <v>0</v>
      </c>
      <c r="Q67" s="29">
        <f t="shared" si="6"/>
        <v>0</v>
      </c>
      <c r="R67" s="29">
        <f t="shared" si="7"/>
        <v>0</v>
      </c>
    </row>
    <row r="68" spans="10:18" ht="13.05" customHeight="1">
      <c r="J68" s="26">
        <f t="shared" si="0"/>
        <v>81032000</v>
      </c>
      <c r="K68" s="22"/>
      <c r="L68" s="23" t="str">
        <f>IFERROR(VLOOKUP(D68,마스터!$R$4:$S$59,2,0),"")</f>
        <v/>
      </c>
      <c r="M68" s="23" t="e">
        <f>VLOOKUP(L68,마스터!S:T,2,0)</f>
        <v>#N/A</v>
      </c>
      <c r="N68" s="23" t="str">
        <f>IFERROR(VLOOKUP(B68,마스터!$A$2:$B$8,2,0),"")</f>
        <v/>
      </c>
      <c r="O68" s="23" t="e">
        <f>VLOOKUP(N68,마스터!$B$1:$G$8,2,0)</f>
        <v>#N/A</v>
      </c>
      <c r="P68" s="23">
        <f t="shared" si="5"/>
        <v>0</v>
      </c>
      <c r="Q68" s="29">
        <f t="shared" si="6"/>
        <v>0</v>
      </c>
      <c r="R68" s="29">
        <f t="shared" si="7"/>
        <v>0</v>
      </c>
    </row>
    <row r="69" spans="10:18" ht="13.2" customHeight="1">
      <c r="J69" s="26">
        <f t="shared" si="0"/>
        <v>81032000</v>
      </c>
      <c r="K69" s="22"/>
      <c r="L69" s="23" t="str">
        <f>IFERROR(VLOOKUP(D69,마스터!$R$4:$S$59,2,0),"")</f>
        <v/>
      </c>
      <c r="M69" s="23" t="e">
        <f>VLOOKUP(L69,마스터!S:T,2,0)</f>
        <v>#N/A</v>
      </c>
      <c r="N69" s="23" t="str">
        <f>IFERROR(VLOOKUP(B69,마스터!$A$2:$B$8,2,0),"")</f>
        <v/>
      </c>
      <c r="O69" s="23" t="e">
        <f>VLOOKUP(N69,마스터!$B$1:$G$8,2,0)</f>
        <v>#N/A</v>
      </c>
      <c r="P69" s="23">
        <f t="shared" si="5"/>
        <v>0</v>
      </c>
      <c r="Q69" s="29">
        <f t="shared" si="6"/>
        <v>0</v>
      </c>
      <c r="R69" s="29">
        <f t="shared" si="7"/>
        <v>0</v>
      </c>
    </row>
    <row r="70" spans="10:18" ht="13.2" customHeight="1">
      <c r="J70" s="26">
        <f t="shared" ref="J70:J133" si="8">$L$2</f>
        <v>81032000</v>
      </c>
      <c r="K70" s="22"/>
      <c r="L70" s="23" t="str">
        <f>IFERROR(VLOOKUP(D70,마스터!$R$4:$S$40,2,0),"")</f>
        <v/>
      </c>
      <c r="M70" s="23" t="e">
        <f>VLOOKUP(L70,마스터!S:T,2,0)</f>
        <v>#N/A</v>
      </c>
      <c r="N70" s="23" t="str">
        <f>IFERROR(VLOOKUP(B70,마스터!$A$2:$B$8,2,0),"")</f>
        <v/>
      </c>
      <c r="O70" s="23" t="e">
        <f>VLOOKUP(N70,마스터!$B$1:$G$8,2,0)</f>
        <v>#N/A</v>
      </c>
      <c r="P70" s="23">
        <f t="shared" si="5"/>
        <v>0</v>
      </c>
      <c r="Q70" s="29">
        <f t="shared" si="6"/>
        <v>0</v>
      </c>
      <c r="R70" s="29">
        <f t="shared" si="7"/>
        <v>0</v>
      </c>
    </row>
    <row r="71" spans="10:18" ht="13.2" customHeight="1">
      <c r="J71" s="26">
        <f t="shared" si="8"/>
        <v>81032000</v>
      </c>
      <c r="K71" s="22"/>
      <c r="L71" s="23" t="str">
        <f>IFERROR(VLOOKUP(D71,마스터!$R$4:$S$80,2,0),"")</f>
        <v/>
      </c>
      <c r="M71" s="23" t="e">
        <f>VLOOKUP(L71,마스터!S:T,2,0)</f>
        <v>#N/A</v>
      </c>
      <c r="N71" s="23" t="str">
        <f>IFERROR(VLOOKUP(B71,마스터!$A$2:$B$8,2,0),"")</f>
        <v/>
      </c>
      <c r="O71" s="23" t="e">
        <f>VLOOKUP(N71,마스터!$B$1:$G$8,2,0)</f>
        <v>#N/A</v>
      </c>
      <c r="P71" s="23">
        <f t="shared" si="5"/>
        <v>0</v>
      </c>
      <c r="Q71" s="29">
        <f t="shared" si="6"/>
        <v>0</v>
      </c>
      <c r="R71" s="29">
        <f t="shared" si="7"/>
        <v>0</v>
      </c>
    </row>
    <row r="72" spans="10:18" ht="13.2" customHeight="1">
      <c r="J72" s="26">
        <f t="shared" si="8"/>
        <v>81032000</v>
      </c>
      <c r="K72" s="22"/>
      <c r="L72" s="23" t="str">
        <f>IFERROR(VLOOKUP(D72,마스터!$R$4:$S$40,2,0),"")</f>
        <v/>
      </c>
      <c r="M72" s="23" t="e">
        <f>VLOOKUP(L72,마스터!S:T,2,0)</f>
        <v>#N/A</v>
      </c>
      <c r="N72" s="23" t="str">
        <f>IFERROR(VLOOKUP(B72,마스터!$A$2:$B$8,2,0),"")</f>
        <v/>
      </c>
      <c r="O72" s="23" t="e">
        <f>VLOOKUP(N72,마스터!$B$1:$G$8,2,0)</f>
        <v>#N/A</v>
      </c>
      <c r="P72" s="23">
        <f t="shared" si="5"/>
        <v>0</v>
      </c>
      <c r="Q72" s="29">
        <f t="shared" si="6"/>
        <v>0</v>
      </c>
      <c r="R72" s="29">
        <f t="shared" si="7"/>
        <v>0</v>
      </c>
    </row>
    <row r="73" spans="10:18" ht="13.2" customHeight="1">
      <c r="J73" s="26">
        <f t="shared" si="8"/>
        <v>81032000</v>
      </c>
      <c r="K73" s="22"/>
      <c r="L73" s="23" t="str">
        <f>IFERROR(VLOOKUP(D73,마스터!$R$4:$S$40,2,0),"")</f>
        <v/>
      </c>
      <c r="M73" s="23" t="e">
        <f>VLOOKUP(L73,마스터!S:T,2,0)</f>
        <v>#N/A</v>
      </c>
      <c r="N73" s="23" t="str">
        <f>IFERROR(VLOOKUP(B73,마스터!$A$2:$B$8,2,0),"")</f>
        <v/>
      </c>
      <c r="O73" s="23" t="e">
        <f>VLOOKUP(N73,마스터!$B$1:$G$8,2,0)</f>
        <v>#N/A</v>
      </c>
      <c r="P73" s="23">
        <f t="shared" si="5"/>
        <v>0</v>
      </c>
      <c r="Q73" s="29">
        <f t="shared" si="6"/>
        <v>0</v>
      </c>
      <c r="R73" s="29">
        <f t="shared" si="7"/>
        <v>0</v>
      </c>
    </row>
    <row r="74" spans="10:18" ht="13.2" customHeight="1">
      <c r="J74" s="26">
        <f t="shared" si="8"/>
        <v>81032000</v>
      </c>
      <c r="K74" s="22"/>
      <c r="L74" s="23" t="str">
        <f>IFERROR(VLOOKUP(D74,마스터!$R$4:$S$40,2,0),"")</f>
        <v/>
      </c>
      <c r="M74" s="23" t="e">
        <f>VLOOKUP(L74,마스터!S:T,2,0)</f>
        <v>#N/A</v>
      </c>
      <c r="N74" s="23" t="str">
        <f>IFERROR(VLOOKUP(B74,마스터!$A$2:$B$8,2,0),"")</f>
        <v/>
      </c>
      <c r="O74" s="23" t="e">
        <f>VLOOKUP(N74,마스터!$B$1:$G$8,2,0)</f>
        <v>#N/A</v>
      </c>
      <c r="P74" s="23">
        <f t="shared" si="5"/>
        <v>0</v>
      </c>
      <c r="Q74" s="29">
        <f t="shared" si="6"/>
        <v>0</v>
      </c>
      <c r="R74" s="29">
        <f t="shared" si="7"/>
        <v>0</v>
      </c>
    </row>
    <row r="75" spans="10:18" ht="13.2" customHeight="1">
      <c r="J75" s="26">
        <f t="shared" si="8"/>
        <v>81032000</v>
      </c>
      <c r="K75" s="22"/>
      <c r="L75" s="23" t="str">
        <f>IFERROR(VLOOKUP(D75,마스터!$R$4:$S$40,2,0),"")</f>
        <v/>
      </c>
      <c r="M75" s="23" t="e">
        <f>VLOOKUP(L75,마스터!S:T,2,0)</f>
        <v>#N/A</v>
      </c>
      <c r="N75" s="23" t="str">
        <f>IFERROR(VLOOKUP(B75,마스터!$A$2:$B$8,2,0),"")</f>
        <v/>
      </c>
      <c r="O75" s="23" t="e">
        <f>VLOOKUP(N75,마스터!$B$1:$G$8,2,0)</f>
        <v>#N/A</v>
      </c>
      <c r="P75" s="23">
        <f t="shared" si="5"/>
        <v>0</v>
      </c>
      <c r="Q75" s="29">
        <f t="shared" si="6"/>
        <v>0</v>
      </c>
      <c r="R75" s="29">
        <f t="shared" si="7"/>
        <v>0</v>
      </c>
    </row>
    <row r="76" spans="10:18" ht="13.2" customHeight="1">
      <c r="J76" s="26">
        <f t="shared" si="8"/>
        <v>81032000</v>
      </c>
      <c r="K76" s="22"/>
      <c r="L76" s="23" t="str">
        <f>IFERROR(VLOOKUP(D76,마스터!$R$4:$S$59,2,0),"")</f>
        <v/>
      </c>
      <c r="M76" s="23" t="e">
        <f>VLOOKUP(L76,마스터!S:T,2,0)</f>
        <v>#N/A</v>
      </c>
      <c r="N76" s="23" t="str">
        <f>IFERROR(VLOOKUP(B76,마스터!$A$2:$B$8,2,0),"")</f>
        <v/>
      </c>
      <c r="O76" s="23" t="e">
        <f>VLOOKUP(N76,마스터!$B$1:$G$8,2,0)</f>
        <v>#N/A</v>
      </c>
      <c r="P76" s="23">
        <f t="shared" si="5"/>
        <v>0</v>
      </c>
      <c r="Q76" s="29">
        <f t="shared" si="6"/>
        <v>0</v>
      </c>
      <c r="R76" s="29">
        <f t="shared" si="7"/>
        <v>0</v>
      </c>
    </row>
    <row r="77" spans="10:18" ht="13.2" customHeight="1">
      <c r="J77" s="26">
        <f t="shared" si="8"/>
        <v>81032000</v>
      </c>
      <c r="K77" s="22"/>
      <c r="L77" s="23" t="str">
        <f>IFERROR(VLOOKUP(D77,마스터!$R$4:$S$59,2,0),"")</f>
        <v/>
      </c>
      <c r="M77" s="23" t="e">
        <f>VLOOKUP(L77,마스터!S:T,2,0)</f>
        <v>#N/A</v>
      </c>
      <c r="N77" s="23" t="str">
        <f>IFERROR(VLOOKUP(B77,마스터!$A$2:$B$8,2,0),"")</f>
        <v/>
      </c>
      <c r="O77" s="23" t="e">
        <f>VLOOKUP(N77,마스터!$B$1:$G$8,2,0)</f>
        <v>#N/A</v>
      </c>
      <c r="P77" s="23">
        <f t="shared" si="5"/>
        <v>0</v>
      </c>
      <c r="Q77" s="29">
        <f t="shared" si="6"/>
        <v>0</v>
      </c>
      <c r="R77" s="29">
        <f t="shared" si="7"/>
        <v>0</v>
      </c>
    </row>
    <row r="78" spans="10:18" ht="13.2" customHeight="1">
      <c r="J78" s="26">
        <f t="shared" si="8"/>
        <v>81032000</v>
      </c>
      <c r="K78" s="22"/>
      <c r="L78" s="23" t="str">
        <f>IFERROR(VLOOKUP(D78,마스터!$R$4:$S$80,2,0),"")</f>
        <v/>
      </c>
      <c r="M78" s="23" t="e">
        <f>VLOOKUP(L78,마스터!S:T,2,0)</f>
        <v>#N/A</v>
      </c>
      <c r="N78" s="23" t="str">
        <f>IFERROR(VLOOKUP(B78,마스터!$A$2:$B$8,2,0),"")</f>
        <v/>
      </c>
      <c r="O78" s="23" t="e">
        <f>VLOOKUP(N78,마스터!$B$1:$G$8,2,0)</f>
        <v>#N/A</v>
      </c>
      <c r="P78" s="23">
        <f t="shared" si="5"/>
        <v>0</v>
      </c>
      <c r="Q78" s="29">
        <f t="shared" si="6"/>
        <v>0</v>
      </c>
      <c r="R78" s="29">
        <f t="shared" si="7"/>
        <v>0</v>
      </c>
    </row>
    <row r="79" spans="10:18" ht="13.2" customHeight="1">
      <c r="J79" s="26">
        <f t="shared" si="8"/>
        <v>81032000</v>
      </c>
      <c r="K79" s="22"/>
      <c r="L79" s="23" t="str">
        <f>IFERROR(VLOOKUP(D79,마스터!$R$4:$S$40,2,0),"")</f>
        <v/>
      </c>
      <c r="M79" s="23" t="e">
        <f>VLOOKUP(L79,마스터!S:T,2,0)</f>
        <v>#N/A</v>
      </c>
      <c r="N79" s="23" t="str">
        <f>IFERROR(VLOOKUP(B79,마스터!$A$2:$B$8,2,0),"")</f>
        <v/>
      </c>
      <c r="O79" s="23" t="e">
        <f>VLOOKUP(N79,마스터!$B$1:$G$8,2,0)</f>
        <v>#N/A</v>
      </c>
      <c r="P79" s="23">
        <f t="shared" si="5"/>
        <v>0</v>
      </c>
      <c r="Q79" s="29">
        <f t="shared" si="6"/>
        <v>0</v>
      </c>
      <c r="R79" s="29">
        <f t="shared" si="7"/>
        <v>0</v>
      </c>
    </row>
    <row r="80" spans="10:18" ht="13.2" customHeight="1">
      <c r="J80" s="26">
        <f t="shared" si="8"/>
        <v>81032000</v>
      </c>
      <c r="K80" s="22"/>
      <c r="L80" s="23" t="str">
        <f>IFERROR(VLOOKUP(D80,마스터!$R$4:$S$40,2,0),"")</f>
        <v/>
      </c>
      <c r="M80" s="23" t="e">
        <f>VLOOKUP(L80,마스터!S:T,2,0)</f>
        <v>#N/A</v>
      </c>
      <c r="N80" s="23" t="str">
        <f>IFERROR(VLOOKUP(B80,마스터!$A$2:$B$8,2,0),"")</f>
        <v/>
      </c>
      <c r="O80" s="23" t="e">
        <f>VLOOKUP(N80,마스터!$B$1:$G$8,2,0)</f>
        <v>#N/A</v>
      </c>
      <c r="P80" s="23">
        <f t="shared" si="5"/>
        <v>0</v>
      </c>
      <c r="Q80" s="29">
        <f t="shared" si="6"/>
        <v>0</v>
      </c>
      <c r="R80" s="29">
        <f t="shared" si="7"/>
        <v>0</v>
      </c>
    </row>
    <row r="81" spans="10:18" ht="13.2" customHeight="1">
      <c r="J81" s="26">
        <f t="shared" si="8"/>
        <v>81032000</v>
      </c>
      <c r="K81" s="22"/>
      <c r="L81" s="23" t="str">
        <f>IFERROR(VLOOKUP(D81,마스터!$R$4:$S$40,2,0),"")</f>
        <v/>
      </c>
      <c r="M81" s="23" t="e">
        <f>VLOOKUP(L81,마스터!S:T,2,0)</f>
        <v>#N/A</v>
      </c>
      <c r="N81" s="23" t="str">
        <f>IFERROR(VLOOKUP(B81,마스터!$A$2:$B$8,2,0),"")</f>
        <v/>
      </c>
      <c r="O81" s="23" t="e">
        <f>VLOOKUP(N81,마스터!$B$1:$G$8,2,0)</f>
        <v>#N/A</v>
      </c>
      <c r="P81" s="23">
        <f t="shared" si="5"/>
        <v>0</v>
      </c>
      <c r="Q81" s="29">
        <f t="shared" si="6"/>
        <v>0</v>
      </c>
      <c r="R81" s="29">
        <f t="shared" si="7"/>
        <v>0</v>
      </c>
    </row>
    <row r="82" spans="10:18" ht="13.2" customHeight="1">
      <c r="J82" s="26">
        <f t="shared" si="8"/>
        <v>81032000</v>
      </c>
      <c r="K82" s="22"/>
      <c r="L82" s="23" t="str">
        <f>IFERROR(VLOOKUP(D82,마스터!$R$4:$S$40,2,0),"")</f>
        <v/>
      </c>
      <c r="M82" s="23" t="e">
        <f>VLOOKUP(L82,마스터!S:T,2,0)</f>
        <v>#N/A</v>
      </c>
      <c r="N82" s="23" t="str">
        <f>IFERROR(VLOOKUP(B82,마스터!$A$2:$B$8,2,0),"")</f>
        <v/>
      </c>
      <c r="O82" s="23" t="e">
        <f>VLOOKUP(N82,마스터!$B$1:$G$8,2,0)</f>
        <v>#N/A</v>
      </c>
      <c r="P82" s="23">
        <f t="shared" si="5"/>
        <v>0</v>
      </c>
      <c r="Q82" s="29">
        <f t="shared" si="6"/>
        <v>0</v>
      </c>
      <c r="R82" s="29">
        <f t="shared" si="7"/>
        <v>0</v>
      </c>
    </row>
    <row r="83" spans="10:18" ht="13.2" customHeight="1">
      <c r="J83" s="26">
        <f t="shared" si="8"/>
        <v>81032000</v>
      </c>
      <c r="K83" s="22"/>
      <c r="L83" s="23" t="str">
        <f>IFERROR(VLOOKUP(D83,마스터!$R$4:$S$40,2,0),"")</f>
        <v/>
      </c>
      <c r="M83" s="23" t="e">
        <f>VLOOKUP(L83,마스터!S:T,2,0)</f>
        <v>#N/A</v>
      </c>
      <c r="N83" s="23" t="str">
        <f>IFERROR(VLOOKUP(B83,마스터!$A$2:$B$8,2,0),"")</f>
        <v/>
      </c>
      <c r="O83" s="23" t="e">
        <f>VLOOKUP(N83,마스터!$B$1:$G$8,2,0)</f>
        <v>#N/A</v>
      </c>
      <c r="P83" s="23">
        <f t="shared" si="5"/>
        <v>0</v>
      </c>
      <c r="Q83" s="29">
        <f t="shared" si="6"/>
        <v>0</v>
      </c>
      <c r="R83" s="29">
        <f t="shared" si="7"/>
        <v>0</v>
      </c>
    </row>
    <row r="84" spans="10:18" ht="13.2" customHeight="1">
      <c r="J84" s="26">
        <f t="shared" si="8"/>
        <v>81032000</v>
      </c>
      <c r="K84" s="22"/>
      <c r="L84" s="23" t="str">
        <f>IFERROR(VLOOKUP(D84,마스터!$R$4:$S$59,2,0),"")</f>
        <v/>
      </c>
      <c r="M84" s="23" t="e">
        <f>VLOOKUP(L84,마스터!S:T,2,0)</f>
        <v>#N/A</v>
      </c>
      <c r="N84" s="23" t="str">
        <f>IFERROR(VLOOKUP(B84,마스터!$A$2:$B$8,2,0),"")</f>
        <v/>
      </c>
      <c r="O84" s="23" t="e">
        <f>VLOOKUP(N84,마스터!$B$1:$G$8,2,0)</f>
        <v>#N/A</v>
      </c>
      <c r="P84" s="23">
        <f t="shared" si="5"/>
        <v>0</v>
      </c>
      <c r="Q84" s="29">
        <f t="shared" si="6"/>
        <v>0</v>
      </c>
      <c r="R84" s="29">
        <f t="shared" si="7"/>
        <v>0</v>
      </c>
    </row>
    <row r="85" spans="10:18" ht="13.2" customHeight="1">
      <c r="J85" s="26">
        <f t="shared" si="8"/>
        <v>81032000</v>
      </c>
      <c r="K85" s="22"/>
      <c r="L85" s="23" t="str">
        <f>IFERROR(VLOOKUP(D85,마스터!$R$4:$S$80,2,0),"")</f>
        <v/>
      </c>
      <c r="M85" s="23" t="e">
        <f>VLOOKUP(L85,마스터!S:T,2,0)</f>
        <v>#N/A</v>
      </c>
      <c r="N85" s="23" t="str">
        <f>IFERROR(VLOOKUP(B85,마스터!$A$2:$B$8,2,0),"")</f>
        <v/>
      </c>
      <c r="O85" s="23" t="e">
        <f>VLOOKUP(N85,마스터!$B$1:$G$8,2,0)</f>
        <v>#N/A</v>
      </c>
      <c r="P85" s="23">
        <f t="shared" si="5"/>
        <v>0</v>
      </c>
      <c r="Q85" s="29">
        <f t="shared" si="6"/>
        <v>0</v>
      </c>
      <c r="R85" s="29">
        <f t="shared" si="7"/>
        <v>0</v>
      </c>
    </row>
    <row r="86" spans="10:18" ht="13.2" customHeight="1">
      <c r="J86" s="26">
        <f t="shared" si="8"/>
        <v>81032000</v>
      </c>
      <c r="K86" s="22"/>
      <c r="L86" s="23" t="str">
        <f>IFERROR(VLOOKUP(D86,마스터!$R$4:$S$40,2,0),"")</f>
        <v/>
      </c>
      <c r="M86" s="23" t="e">
        <f>VLOOKUP(L86,마스터!S:T,2,0)</f>
        <v>#N/A</v>
      </c>
      <c r="N86" s="23" t="str">
        <f>IFERROR(VLOOKUP(B86,마스터!$A$2:$B$8,2,0),"")</f>
        <v/>
      </c>
      <c r="O86" s="23" t="e">
        <f>VLOOKUP(N86,마스터!$B$1:$G$8,2,0)</f>
        <v>#N/A</v>
      </c>
      <c r="P86" s="23">
        <f t="shared" si="5"/>
        <v>0</v>
      </c>
      <c r="Q86" s="29">
        <f t="shared" si="6"/>
        <v>0</v>
      </c>
      <c r="R86" s="29">
        <f t="shared" si="7"/>
        <v>0</v>
      </c>
    </row>
    <row r="87" spans="10:18" ht="13.2" customHeight="1">
      <c r="J87" s="26">
        <f t="shared" si="8"/>
        <v>81032000</v>
      </c>
      <c r="K87" s="22"/>
      <c r="L87" s="23" t="str">
        <f>IFERROR(VLOOKUP(D87,마스터!$R$4:$S$40,2,0),"")</f>
        <v/>
      </c>
      <c r="M87" s="23" t="e">
        <f>VLOOKUP(L87,마스터!S:T,2,0)</f>
        <v>#N/A</v>
      </c>
      <c r="N87" s="23" t="str">
        <f>IFERROR(VLOOKUP(B87,마스터!$A$2:$B$8,2,0),"")</f>
        <v/>
      </c>
      <c r="O87" s="23" t="e">
        <f>VLOOKUP(N87,마스터!$B$1:$G$8,2,0)</f>
        <v>#N/A</v>
      </c>
      <c r="P87" s="23">
        <f t="shared" si="5"/>
        <v>0</v>
      </c>
      <c r="Q87" s="29">
        <f t="shared" si="6"/>
        <v>0</v>
      </c>
      <c r="R87" s="29">
        <f t="shared" si="7"/>
        <v>0</v>
      </c>
    </row>
    <row r="88" spans="10:18" ht="13.2" customHeight="1">
      <c r="J88" s="26">
        <f t="shared" si="8"/>
        <v>81032000</v>
      </c>
      <c r="K88" s="22"/>
      <c r="L88" s="23" t="str">
        <f>IFERROR(VLOOKUP(D88,마스터!$R$4:$S$40,2,0),"")</f>
        <v/>
      </c>
      <c r="M88" s="23" t="e">
        <f>VLOOKUP(L88,마스터!S:T,2,0)</f>
        <v>#N/A</v>
      </c>
      <c r="N88" s="23" t="str">
        <f>IFERROR(VLOOKUP(B88,마스터!$A$2:$B$8,2,0),"")</f>
        <v/>
      </c>
      <c r="O88" s="23" t="e">
        <f>VLOOKUP(N88,마스터!$B$1:$G$8,2,0)</f>
        <v>#N/A</v>
      </c>
      <c r="P88" s="23">
        <f t="shared" si="5"/>
        <v>0</v>
      </c>
      <c r="Q88" s="29">
        <f t="shared" si="6"/>
        <v>0</v>
      </c>
      <c r="R88" s="29">
        <f t="shared" si="7"/>
        <v>0</v>
      </c>
    </row>
    <row r="89" spans="10:18" ht="13.2" customHeight="1">
      <c r="J89" s="26">
        <f t="shared" si="8"/>
        <v>81032000</v>
      </c>
      <c r="K89" s="22"/>
      <c r="L89" s="23" t="str">
        <f>IFERROR(VLOOKUP(D89,마스터!$R$4:$S$40,2,0),"")</f>
        <v/>
      </c>
      <c r="M89" s="23" t="e">
        <f>VLOOKUP(L89,마스터!S:T,2,0)</f>
        <v>#N/A</v>
      </c>
      <c r="N89" s="23" t="str">
        <f>IFERROR(VLOOKUP(B89,마스터!$A$2:$B$8,2,0),"")</f>
        <v/>
      </c>
      <c r="O89" s="23" t="e">
        <f>VLOOKUP(N89,마스터!$B$1:$G$8,2,0)</f>
        <v>#N/A</v>
      </c>
      <c r="P89" s="23">
        <f t="shared" si="5"/>
        <v>0</v>
      </c>
      <c r="Q89" s="29">
        <f t="shared" si="6"/>
        <v>0</v>
      </c>
      <c r="R89" s="29">
        <f t="shared" si="7"/>
        <v>0</v>
      </c>
    </row>
    <row r="90" spans="10:18" ht="13.2" customHeight="1">
      <c r="J90" s="26">
        <f t="shared" si="8"/>
        <v>81032000</v>
      </c>
      <c r="K90" s="22"/>
      <c r="L90" s="23" t="str">
        <f>IFERROR(VLOOKUP(D90,마스터!$R$4:$S$40,2,0),"")</f>
        <v/>
      </c>
      <c r="M90" s="23" t="e">
        <f>VLOOKUP(L90,마스터!S:T,2,0)</f>
        <v>#N/A</v>
      </c>
      <c r="N90" s="23" t="str">
        <f>IFERROR(VLOOKUP(B90,마스터!$A$2:$B$8,2,0),"")</f>
        <v/>
      </c>
      <c r="O90" s="23" t="e">
        <f>VLOOKUP(N90,마스터!$B$1:$G$8,2,0)</f>
        <v>#N/A</v>
      </c>
      <c r="P90" s="23">
        <f t="shared" si="5"/>
        <v>0</v>
      </c>
      <c r="Q90" s="29">
        <f t="shared" si="6"/>
        <v>0</v>
      </c>
      <c r="R90" s="29">
        <f t="shared" si="7"/>
        <v>0</v>
      </c>
    </row>
    <row r="91" spans="10:18" ht="13.2" customHeight="1">
      <c r="J91" s="26">
        <f t="shared" si="8"/>
        <v>81032000</v>
      </c>
      <c r="K91" s="22"/>
      <c r="L91" s="23" t="str">
        <f>IFERROR(VLOOKUP(D91,마스터!$R$4:$S$40,2,0),"")</f>
        <v/>
      </c>
      <c r="M91" s="23" t="e">
        <f>VLOOKUP(L91,마스터!S:T,2,0)</f>
        <v>#N/A</v>
      </c>
      <c r="N91" s="23" t="str">
        <f>IFERROR(VLOOKUP(B91,마스터!$A$2:$B$8,2,0),"")</f>
        <v/>
      </c>
      <c r="O91" s="23" t="e">
        <f>VLOOKUP(N91,마스터!$B$1:$G$8,2,0)</f>
        <v>#N/A</v>
      </c>
      <c r="P91" s="23">
        <f t="shared" si="5"/>
        <v>0</v>
      </c>
      <c r="Q91" s="29">
        <f t="shared" si="6"/>
        <v>0</v>
      </c>
      <c r="R91" s="29">
        <f t="shared" si="7"/>
        <v>0</v>
      </c>
    </row>
    <row r="92" spans="10:18" ht="13.2" customHeight="1">
      <c r="J92" s="26">
        <f t="shared" si="8"/>
        <v>81032000</v>
      </c>
      <c r="K92" s="22"/>
      <c r="L92" s="23" t="str">
        <f>IFERROR(VLOOKUP(D92,마스터!$R$4:$S$40,2,0),"")</f>
        <v/>
      </c>
      <c r="M92" s="23" t="e">
        <f>VLOOKUP(L92,마스터!S:T,2,0)</f>
        <v>#N/A</v>
      </c>
      <c r="N92" s="23" t="str">
        <f>IFERROR(VLOOKUP(B92,마스터!$A$2:$B$8,2,0),"")</f>
        <v/>
      </c>
      <c r="O92" s="23" t="e">
        <f>VLOOKUP(N92,마스터!$B$1:$G$8,2,0)</f>
        <v>#N/A</v>
      </c>
      <c r="P92" s="23">
        <f t="shared" si="5"/>
        <v>0</v>
      </c>
      <c r="Q92" s="29">
        <f t="shared" si="6"/>
        <v>0</v>
      </c>
      <c r="R92" s="29">
        <f t="shared" si="7"/>
        <v>0</v>
      </c>
    </row>
    <row r="93" spans="10:18" ht="13.2" customHeight="1">
      <c r="J93" s="26">
        <f t="shared" si="8"/>
        <v>81032000</v>
      </c>
      <c r="K93" s="22"/>
      <c r="L93" s="23" t="str">
        <f>IFERROR(VLOOKUP(D93,마스터!$R$4:$S$40,2,0),"")</f>
        <v/>
      </c>
      <c r="M93" s="23" t="e">
        <f>VLOOKUP(L93,마스터!S:T,2,0)</f>
        <v>#N/A</v>
      </c>
      <c r="N93" s="23" t="str">
        <f>IFERROR(VLOOKUP(B93,마스터!$A$2:$B$8,2,0),"")</f>
        <v/>
      </c>
      <c r="O93" s="23" t="e">
        <f>VLOOKUP(N93,마스터!$B$1:$G$8,2,0)</f>
        <v>#N/A</v>
      </c>
      <c r="P93" s="23">
        <f t="shared" si="5"/>
        <v>0</v>
      </c>
      <c r="Q93" s="29">
        <f t="shared" si="6"/>
        <v>0</v>
      </c>
      <c r="R93" s="29">
        <f t="shared" si="7"/>
        <v>0</v>
      </c>
    </row>
    <row r="94" spans="10:18" ht="13.2" customHeight="1">
      <c r="J94" s="26">
        <f t="shared" si="8"/>
        <v>81032000</v>
      </c>
      <c r="K94" s="22"/>
      <c r="L94" s="23" t="str">
        <f>IFERROR(VLOOKUP(D94,마스터!$R$4:$S$40,2,0),"")</f>
        <v/>
      </c>
      <c r="M94" s="23" t="e">
        <f>VLOOKUP(L94,마스터!S:T,2,0)</f>
        <v>#N/A</v>
      </c>
      <c r="N94" s="23" t="str">
        <f>IFERROR(VLOOKUP(B94,마스터!$A$2:$B$8,2,0),"")</f>
        <v/>
      </c>
      <c r="O94" s="23" t="e">
        <f>VLOOKUP(N94,마스터!$B$1:$G$8,2,0)</f>
        <v>#N/A</v>
      </c>
      <c r="P94" s="23">
        <f t="shared" si="5"/>
        <v>0</v>
      </c>
      <c r="Q94" s="29">
        <f t="shared" si="6"/>
        <v>0</v>
      </c>
      <c r="R94" s="29">
        <f t="shared" si="7"/>
        <v>0</v>
      </c>
    </row>
    <row r="95" spans="10:18" ht="13.2" customHeight="1">
      <c r="J95" s="26">
        <f t="shared" si="8"/>
        <v>81032000</v>
      </c>
      <c r="K95" s="22"/>
      <c r="L95" s="23" t="str">
        <f>IFERROR(VLOOKUP(D95,마스터!$R$4:$S$40,2,0),"")</f>
        <v/>
      </c>
      <c r="M95" s="23" t="e">
        <f>VLOOKUP(L95,마스터!S:T,2,0)</f>
        <v>#N/A</v>
      </c>
      <c r="N95" s="23" t="str">
        <f>IFERROR(VLOOKUP(B95,마스터!$A$2:$B$8,2,0),"")</f>
        <v/>
      </c>
      <c r="O95" s="23" t="e">
        <f>VLOOKUP(N95,마스터!$B$1:$G$8,2,0)</f>
        <v>#N/A</v>
      </c>
      <c r="P95" s="23">
        <f t="shared" si="5"/>
        <v>0</v>
      </c>
      <c r="Q95" s="29">
        <f t="shared" si="6"/>
        <v>0</v>
      </c>
      <c r="R95" s="29">
        <f t="shared" si="7"/>
        <v>0</v>
      </c>
    </row>
    <row r="96" spans="10:18" ht="13.2" customHeight="1">
      <c r="J96" s="26">
        <f t="shared" si="8"/>
        <v>81032000</v>
      </c>
      <c r="K96" s="22"/>
      <c r="L96" s="23" t="str">
        <f>IFERROR(VLOOKUP(D96,마스터!$R$4:$S$40,2,0),"")</f>
        <v/>
      </c>
      <c r="M96" s="23" t="e">
        <f>VLOOKUP(L96,마스터!S:T,2,0)</f>
        <v>#N/A</v>
      </c>
      <c r="N96" s="23" t="str">
        <f>IFERROR(VLOOKUP(B96,마스터!$A$2:$B$8,2,0),"")</f>
        <v/>
      </c>
      <c r="O96" s="23" t="e">
        <f>VLOOKUP(N96,마스터!$B$1:$G$8,2,0)</f>
        <v>#N/A</v>
      </c>
      <c r="P96" s="23">
        <f t="shared" si="5"/>
        <v>0</v>
      </c>
      <c r="Q96" s="29">
        <f t="shared" si="6"/>
        <v>0</v>
      </c>
      <c r="R96" s="29">
        <f t="shared" si="7"/>
        <v>0</v>
      </c>
    </row>
    <row r="97" spans="10:18" ht="13.2" customHeight="1">
      <c r="J97" s="26">
        <f t="shared" si="8"/>
        <v>81032000</v>
      </c>
      <c r="K97" s="22"/>
      <c r="L97" s="23" t="str">
        <f>IFERROR(VLOOKUP(D97,마스터!$R$4:$S$40,2,0),"")</f>
        <v/>
      </c>
      <c r="M97" s="23" t="e">
        <f>VLOOKUP(L97,마스터!S:T,2,0)</f>
        <v>#N/A</v>
      </c>
      <c r="N97" s="23" t="str">
        <f>IFERROR(VLOOKUP(B97,마스터!$A$2:$B$8,2,0),"")</f>
        <v/>
      </c>
      <c r="O97" s="23" t="e">
        <f>VLOOKUP(N97,마스터!$B$1:$G$8,2,0)</f>
        <v>#N/A</v>
      </c>
      <c r="P97" s="23">
        <f t="shared" si="5"/>
        <v>0</v>
      </c>
      <c r="Q97" s="29">
        <f t="shared" si="6"/>
        <v>0</v>
      </c>
      <c r="R97" s="29">
        <f t="shared" si="7"/>
        <v>0</v>
      </c>
    </row>
    <row r="98" spans="10:18" ht="13.2" customHeight="1">
      <c r="J98" s="26">
        <f t="shared" si="8"/>
        <v>81032000</v>
      </c>
      <c r="K98" s="22"/>
      <c r="L98" s="23" t="str">
        <f>IFERROR(VLOOKUP(D98,마스터!$R$4:$S$40,2,0),"")</f>
        <v/>
      </c>
      <c r="M98" s="23" t="e">
        <f>VLOOKUP(L98,마스터!S:T,2,0)</f>
        <v>#N/A</v>
      </c>
      <c r="N98" s="23" t="str">
        <f>IFERROR(VLOOKUP(B98,마스터!$A$2:$B$8,2,0),"")</f>
        <v/>
      </c>
      <c r="O98" s="23" t="e">
        <f>VLOOKUP(N98,마스터!$B$1:$G$8,2,0)</f>
        <v>#N/A</v>
      </c>
      <c r="P98" s="23">
        <f t="shared" si="5"/>
        <v>0</v>
      </c>
      <c r="Q98" s="29">
        <f t="shared" si="6"/>
        <v>0</v>
      </c>
      <c r="R98" s="29">
        <f t="shared" si="7"/>
        <v>0</v>
      </c>
    </row>
    <row r="99" spans="10:18" ht="13.2" customHeight="1">
      <c r="J99" s="26">
        <f t="shared" si="8"/>
        <v>81032000</v>
      </c>
      <c r="K99" s="22"/>
      <c r="L99" s="23" t="str">
        <f>IFERROR(VLOOKUP(D99,마스터!$R$4:$S$40,2,0),"")</f>
        <v/>
      </c>
      <c r="M99" s="23" t="e">
        <f>VLOOKUP(L99,마스터!S:T,2,0)</f>
        <v>#N/A</v>
      </c>
      <c r="N99" s="23" t="str">
        <f>IFERROR(VLOOKUP(B99,마스터!$A$2:$B$8,2,0),"")</f>
        <v/>
      </c>
      <c r="O99" s="23" t="e">
        <f>VLOOKUP(N99,마스터!$B$1:$G$8,2,0)</f>
        <v>#N/A</v>
      </c>
      <c r="P99" s="23">
        <f t="shared" si="5"/>
        <v>0</v>
      </c>
      <c r="Q99" s="29">
        <f t="shared" si="6"/>
        <v>0</v>
      </c>
      <c r="R99" s="29">
        <f t="shared" si="7"/>
        <v>0</v>
      </c>
    </row>
    <row r="100" spans="10:18" ht="13.2" customHeight="1">
      <c r="J100" s="26">
        <f t="shared" si="8"/>
        <v>81032000</v>
      </c>
      <c r="K100" s="22"/>
      <c r="L100" s="23" t="str">
        <f>IFERROR(VLOOKUP(D100,마스터!$R$4:$S$40,2,0),"")</f>
        <v/>
      </c>
      <c r="M100" s="23" t="e">
        <f>VLOOKUP(L100,마스터!S:T,2,0)</f>
        <v>#N/A</v>
      </c>
      <c r="N100" s="23" t="str">
        <f>IFERROR(VLOOKUP(B100,마스터!$A$2:$B$8,2,0),"")</f>
        <v/>
      </c>
      <c r="O100" s="23" t="e">
        <f>VLOOKUP(N100,마스터!$B$1:$G$8,2,0)</f>
        <v>#N/A</v>
      </c>
      <c r="P100" s="23">
        <f t="shared" si="5"/>
        <v>0</v>
      </c>
      <c r="Q100" s="29">
        <f t="shared" si="6"/>
        <v>0</v>
      </c>
      <c r="R100" s="29">
        <f t="shared" si="7"/>
        <v>0</v>
      </c>
    </row>
    <row r="101" spans="10:18" ht="13.2" customHeight="1">
      <c r="J101" s="26">
        <f t="shared" si="8"/>
        <v>81032000</v>
      </c>
      <c r="K101" s="22"/>
      <c r="L101" s="23" t="str">
        <f>IFERROR(VLOOKUP(D101,마스터!$R$4:$S$40,2,0),"")</f>
        <v/>
      </c>
      <c r="M101" s="23" t="e">
        <f>VLOOKUP(L101,마스터!S:T,2,0)</f>
        <v>#N/A</v>
      </c>
      <c r="N101" s="23" t="str">
        <f>IFERROR(VLOOKUP(B101,마스터!$A$2:$B$8,2,0),"")</f>
        <v/>
      </c>
      <c r="O101" s="23" t="e">
        <f>VLOOKUP(N101,마스터!$B$1:$G$8,2,0)</f>
        <v>#N/A</v>
      </c>
      <c r="P101" s="23">
        <f t="shared" ref="P101:P164" si="9">IFERROR(F101*G101,"")</f>
        <v>0</v>
      </c>
      <c r="Q101" s="29">
        <f t="shared" ref="Q101:Q164" si="10">H101</f>
        <v>0</v>
      </c>
      <c r="R101" s="29">
        <f t="shared" ref="R101:R164" si="11">I101</f>
        <v>0</v>
      </c>
    </row>
    <row r="102" spans="10:18" ht="13.2" customHeight="1">
      <c r="J102" s="26">
        <f t="shared" si="8"/>
        <v>81032000</v>
      </c>
      <c r="K102" s="22"/>
      <c r="L102" s="23" t="str">
        <f>IFERROR(VLOOKUP(D102,마스터!$R$4:$S$40,2,0),"")</f>
        <v/>
      </c>
      <c r="M102" s="23" t="e">
        <f>VLOOKUP(L102,마스터!S:T,2,0)</f>
        <v>#N/A</v>
      </c>
      <c r="N102" s="23" t="str">
        <f>IFERROR(VLOOKUP(B102,마스터!$A$2:$B$8,2,0),"")</f>
        <v/>
      </c>
      <c r="O102" s="23" t="e">
        <f>VLOOKUP(N102,마스터!$B$1:$G$8,2,0)</f>
        <v>#N/A</v>
      </c>
      <c r="P102" s="23">
        <f t="shared" si="9"/>
        <v>0</v>
      </c>
      <c r="Q102" s="29">
        <f t="shared" si="10"/>
        <v>0</v>
      </c>
      <c r="R102" s="29">
        <f t="shared" si="11"/>
        <v>0</v>
      </c>
    </row>
    <row r="103" spans="10:18" ht="13.2" customHeight="1">
      <c r="J103" s="26">
        <f t="shared" si="8"/>
        <v>81032000</v>
      </c>
      <c r="K103" s="22"/>
      <c r="L103" s="23" t="str">
        <f>IFERROR(VLOOKUP(D103,마스터!$R$4:$S$40,2,0),"")</f>
        <v/>
      </c>
      <c r="M103" s="23" t="e">
        <f>VLOOKUP(L103,마스터!S:T,2,0)</f>
        <v>#N/A</v>
      </c>
      <c r="N103" s="23" t="str">
        <f>IFERROR(VLOOKUP(B103,마스터!$A$2:$B$8,2,0),"")</f>
        <v/>
      </c>
      <c r="O103" s="23" t="e">
        <f>VLOOKUP(N103,마스터!$B$1:$G$8,2,0)</f>
        <v>#N/A</v>
      </c>
      <c r="P103" s="23">
        <f t="shared" si="9"/>
        <v>0</v>
      </c>
      <c r="Q103" s="29">
        <f t="shared" si="10"/>
        <v>0</v>
      </c>
      <c r="R103" s="29">
        <f t="shared" si="11"/>
        <v>0</v>
      </c>
    </row>
    <row r="104" spans="10:18" ht="13.2" customHeight="1">
      <c r="J104" s="26">
        <f t="shared" si="8"/>
        <v>81032000</v>
      </c>
      <c r="K104" s="22"/>
      <c r="L104" s="23" t="str">
        <f>IFERROR(VLOOKUP(D104,마스터!$R$4:$S$40,2,0),"")</f>
        <v/>
      </c>
      <c r="M104" s="23" t="e">
        <f>VLOOKUP(L104,마스터!S:T,2,0)</f>
        <v>#N/A</v>
      </c>
      <c r="N104" s="23" t="str">
        <f>IFERROR(VLOOKUP(B104,마스터!$A$2:$B$8,2,0),"")</f>
        <v/>
      </c>
      <c r="O104" s="23" t="e">
        <f>VLOOKUP(N104,마스터!$B$1:$G$8,2,0)</f>
        <v>#N/A</v>
      </c>
      <c r="P104" s="23">
        <f t="shared" si="9"/>
        <v>0</v>
      </c>
      <c r="Q104" s="29">
        <f t="shared" si="10"/>
        <v>0</v>
      </c>
      <c r="R104" s="29">
        <f t="shared" si="11"/>
        <v>0</v>
      </c>
    </row>
    <row r="105" spans="10:18" ht="13.2" customHeight="1">
      <c r="J105" s="26">
        <f t="shared" si="8"/>
        <v>81032000</v>
      </c>
      <c r="K105" s="22"/>
      <c r="L105" s="23" t="str">
        <f>IFERROR(VLOOKUP(D105,마스터!$R$4:$S$40,2,0),"")</f>
        <v/>
      </c>
      <c r="M105" s="23" t="e">
        <f>VLOOKUP(L105,마스터!S:T,2,0)</f>
        <v>#N/A</v>
      </c>
      <c r="N105" s="23" t="str">
        <f>IFERROR(VLOOKUP(B105,마스터!$A$2:$B$8,2,0),"")</f>
        <v/>
      </c>
      <c r="O105" s="23" t="e">
        <f>VLOOKUP(N105,마스터!$B$1:$G$8,2,0)</f>
        <v>#N/A</v>
      </c>
      <c r="P105" s="23">
        <f t="shared" si="9"/>
        <v>0</v>
      </c>
      <c r="Q105" s="29">
        <f t="shared" si="10"/>
        <v>0</v>
      </c>
      <c r="R105" s="29">
        <f t="shared" si="11"/>
        <v>0</v>
      </c>
    </row>
    <row r="106" spans="10:18" ht="13.2" customHeight="1">
      <c r="J106" s="26">
        <f t="shared" si="8"/>
        <v>81032000</v>
      </c>
      <c r="K106" s="22"/>
      <c r="L106" s="23" t="str">
        <f>IFERROR(VLOOKUP(D106,마스터!$R$4:$S$40,2,0),"")</f>
        <v/>
      </c>
      <c r="M106" s="23" t="e">
        <f>VLOOKUP(L106,마스터!S:T,2,0)</f>
        <v>#N/A</v>
      </c>
      <c r="N106" s="23" t="str">
        <f>IFERROR(VLOOKUP(B106,마스터!$A$2:$B$8,2,0),"")</f>
        <v/>
      </c>
      <c r="O106" s="23" t="e">
        <f>VLOOKUP(N106,마스터!$B$1:$G$8,2,0)</f>
        <v>#N/A</v>
      </c>
      <c r="P106" s="23">
        <f t="shared" si="9"/>
        <v>0</v>
      </c>
      <c r="Q106" s="29">
        <f t="shared" si="10"/>
        <v>0</v>
      </c>
      <c r="R106" s="29">
        <f t="shared" si="11"/>
        <v>0</v>
      </c>
    </row>
    <row r="107" spans="10:18" ht="13.2" customHeight="1">
      <c r="J107" s="26">
        <f t="shared" si="8"/>
        <v>81032000</v>
      </c>
      <c r="K107" s="22"/>
      <c r="L107" s="23" t="str">
        <f>IFERROR(VLOOKUP(D107,마스터!$R$4:$S$40,2,0),"")</f>
        <v/>
      </c>
      <c r="M107" s="23" t="e">
        <f>VLOOKUP(L107,마스터!S:T,2,0)</f>
        <v>#N/A</v>
      </c>
      <c r="N107" s="23" t="str">
        <f>IFERROR(VLOOKUP(B107,마스터!$A$2:$B$8,2,0),"")</f>
        <v/>
      </c>
      <c r="O107" s="23" t="e">
        <f>VLOOKUP(N107,마스터!$B$1:$G$8,2,0)</f>
        <v>#N/A</v>
      </c>
      <c r="P107" s="23">
        <f t="shared" si="9"/>
        <v>0</v>
      </c>
      <c r="Q107" s="29">
        <f t="shared" si="10"/>
        <v>0</v>
      </c>
      <c r="R107" s="29">
        <f t="shared" si="11"/>
        <v>0</v>
      </c>
    </row>
    <row r="108" spans="10:18" ht="13.2" customHeight="1">
      <c r="J108" s="26">
        <f t="shared" si="8"/>
        <v>81032000</v>
      </c>
      <c r="K108" s="22"/>
      <c r="L108" s="23" t="str">
        <f>IFERROR(VLOOKUP(D108,마스터!$R$4:$S$40,2,0),"")</f>
        <v/>
      </c>
      <c r="M108" s="23" t="e">
        <f>VLOOKUP(L108,마스터!S:T,2,0)</f>
        <v>#N/A</v>
      </c>
      <c r="N108" s="23" t="str">
        <f>IFERROR(VLOOKUP(B108,마스터!$A$2:$B$8,2,0),"")</f>
        <v/>
      </c>
      <c r="O108" s="23" t="e">
        <f>VLOOKUP(N108,마스터!$B$1:$G$8,2,0)</f>
        <v>#N/A</v>
      </c>
      <c r="P108" s="23">
        <f t="shared" si="9"/>
        <v>0</v>
      </c>
      <c r="Q108" s="29">
        <f t="shared" si="10"/>
        <v>0</v>
      </c>
      <c r="R108" s="29">
        <f t="shared" si="11"/>
        <v>0</v>
      </c>
    </row>
    <row r="109" spans="10:18" ht="13.2" customHeight="1">
      <c r="J109" s="26">
        <f t="shared" si="8"/>
        <v>81032000</v>
      </c>
      <c r="K109" s="22"/>
      <c r="L109" s="23" t="str">
        <f>IFERROR(VLOOKUP(D109,마스터!$R$4:$S$40,2,0),"")</f>
        <v/>
      </c>
      <c r="M109" s="23" t="e">
        <f>VLOOKUP(L109,마스터!S:T,2,0)</f>
        <v>#N/A</v>
      </c>
      <c r="N109" s="23" t="str">
        <f>IFERROR(VLOOKUP(B109,마스터!$A$2:$B$8,2,0),"")</f>
        <v/>
      </c>
      <c r="O109" s="23" t="e">
        <f>VLOOKUP(N109,마스터!$B$1:$G$8,2,0)</f>
        <v>#N/A</v>
      </c>
      <c r="P109" s="23">
        <f t="shared" si="9"/>
        <v>0</v>
      </c>
      <c r="Q109" s="29">
        <f t="shared" si="10"/>
        <v>0</v>
      </c>
      <c r="R109" s="29">
        <f t="shared" si="11"/>
        <v>0</v>
      </c>
    </row>
    <row r="110" spans="10:18" ht="13.2" customHeight="1">
      <c r="J110" s="26">
        <f t="shared" si="8"/>
        <v>81032000</v>
      </c>
      <c r="K110" s="22"/>
      <c r="L110" s="23" t="str">
        <f>IFERROR(VLOOKUP(D110,마스터!$R$4:$S$40,2,0),"")</f>
        <v/>
      </c>
      <c r="M110" s="23" t="e">
        <f>VLOOKUP(L110,마스터!S:T,2,0)</f>
        <v>#N/A</v>
      </c>
      <c r="N110" s="23" t="str">
        <f>IFERROR(VLOOKUP(B110,마스터!$A$2:$B$8,2,0),"")</f>
        <v/>
      </c>
      <c r="O110" s="23" t="e">
        <f>VLOOKUP(N110,마스터!$B$1:$G$8,2,0)</f>
        <v>#N/A</v>
      </c>
      <c r="P110" s="23">
        <f t="shared" si="9"/>
        <v>0</v>
      </c>
      <c r="Q110" s="29">
        <f t="shared" si="10"/>
        <v>0</v>
      </c>
      <c r="R110" s="29">
        <f t="shared" si="11"/>
        <v>0</v>
      </c>
    </row>
    <row r="111" spans="10:18" ht="13.2" customHeight="1">
      <c r="J111" s="26">
        <f t="shared" si="8"/>
        <v>81032000</v>
      </c>
      <c r="K111" s="22"/>
      <c r="L111" s="23" t="str">
        <f>IFERROR(VLOOKUP(D111,마스터!$R$4:$S$40,2,0),"")</f>
        <v/>
      </c>
      <c r="M111" s="23" t="e">
        <f>VLOOKUP(L111,마스터!S:T,2,0)</f>
        <v>#N/A</v>
      </c>
      <c r="N111" s="23" t="str">
        <f>IFERROR(VLOOKUP(B111,마스터!$A$2:$B$8,2,0),"")</f>
        <v/>
      </c>
      <c r="O111" s="23" t="e">
        <f>VLOOKUP(N111,마스터!$B$1:$G$8,2,0)</f>
        <v>#N/A</v>
      </c>
      <c r="P111" s="23">
        <f t="shared" si="9"/>
        <v>0</v>
      </c>
      <c r="Q111" s="29">
        <f t="shared" si="10"/>
        <v>0</v>
      </c>
      <c r="R111" s="29">
        <f t="shared" si="11"/>
        <v>0</v>
      </c>
    </row>
    <row r="112" spans="10:18" ht="13.2" customHeight="1">
      <c r="J112" s="26">
        <f t="shared" si="8"/>
        <v>81032000</v>
      </c>
      <c r="K112" s="22"/>
      <c r="L112" s="23" t="str">
        <f>IFERROR(VLOOKUP(D112,마스터!$R$4:$S$40,2,0),"")</f>
        <v/>
      </c>
      <c r="M112" s="23" t="e">
        <f>VLOOKUP(L112,마스터!S:T,2,0)</f>
        <v>#N/A</v>
      </c>
      <c r="N112" s="23" t="str">
        <f>IFERROR(VLOOKUP(B112,마스터!$A$2:$B$8,2,0),"")</f>
        <v/>
      </c>
      <c r="O112" s="23" t="e">
        <f>VLOOKUP(N112,마스터!$B$1:$G$8,2,0)</f>
        <v>#N/A</v>
      </c>
      <c r="P112" s="23">
        <f t="shared" si="9"/>
        <v>0</v>
      </c>
      <c r="Q112" s="29">
        <f t="shared" si="10"/>
        <v>0</v>
      </c>
      <c r="R112" s="29">
        <f t="shared" si="11"/>
        <v>0</v>
      </c>
    </row>
    <row r="113" spans="10:18" ht="13.2" customHeight="1">
      <c r="J113" s="26">
        <f t="shared" si="8"/>
        <v>81032000</v>
      </c>
      <c r="K113" s="22"/>
      <c r="L113" s="23" t="str">
        <f>IFERROR(VLOOKUP(D113,마스터!$R$4:$S$40,2,0),"")</f>
        <v/>
      </c>
      <c r="M113" s="23" t="e">
        <f>VLOOKUP(L113,마스터!S:T,2,0)</f>
        <v>#N/A</v>
      </c>
      <c r="N113" s="23" t="str">
        <f>IFERROR(VLOOKUP(B113,마스터!$A$2:$B$8,2,0),"")</f>
        <v/>
      </c>
      <c r="O113" s="23" t="e">
        <f>VLOOKUP(N113,마스터!$B$1:$G$8,2,0)</f>
        <v>#N/A</v>
      </c>
      <c r="P113" s="23">
        <f t="shared" si="9"/>
        <v>0</v>
      </c>
      <c r="Q113" s="29">
        <f t="shared" si="10"/>
        <v>0</v>
      </c>
      <c r="R113" s="29">
        <f t="shared" si="11"/>
        <v>0</v>
      </c>
    </row>
    <row r="114" spans="10:18" ht="13.2" customHeight="1">
      <c r="J114" s="26">
        <f t="shared" si="8"/>
        <v>81032000</v>
      </c>
      <c r="K114" s="22"/>
      <c r="L114" s="23" t="str">
        <f>IFERROR(VLOOKUP(D114,마스터!$R$4:$S$40,2,0),"")</f>
        <v/>
      </c>
      <c r="M114" s="23" t="e">
        <f>VLOOKUP(L114,마스터!S:T,2,0)</f>
        <v>#N/A</v>
      </c>
      <c r="N114" s="23" t="str">
        <f>IFERROR(VLOOKUP(B114,마스터!$A$2:$B$8,2,0),"")</f>
        <v/>
      </c>
      <c r="O114" s="23" t="e">
        <f>VLOOKUP(N114,마스터!$B$1:$G$8,2,0)</f>
        <v>#N/A</v>
      </c>
      <c r="P114" s="23">
        <f t="shared" si="9"/>
        <v>0</v>
      </c>
      <c r="Q114" s="29">
        <f t="shared" si="10"/>
        <v>0</v>
      </c>
      <c r="R114" s="29">
        <f t="shared" si="11"/>
        <v>0</v>
      </c>
    </row>
    <row r="115" spans="10:18" ht="13.2" customHeight="1">
      <c r="J115" s="26">
        <f t="shared" si="8"/>
        <v>81032000</v>
      </c>
      <c r="K115" s="22"/>
      <c r="L115" s="23" t="str">
        <f>IFERROR(VLOOKUP(D115,마스터!$R$4:$S$40,2,0),"")</f>
        <v/>
      </c>
      <c r="M115" s="23" t="e">
        <f>VLOOKUP(L115,마스터!S:T,2,0)</f>
        <v>#N/A</v>
      </c>
      <c r="N115" s="23" t="str">
        <f>IFERROR(VLOOKUP(B115,마스터!$A$2:$B$8,2,0),"")</f>
        <v/>
      </c>
      <c r="O115" s="23" t="e">
        <f>VLOOKUP(N115,마스터!$B$1:$G$8,2,0)</f>
        <v>#N/A</v>
      </c>
      <c r="P115" s="23">
        <f t="shared" si="9"/>
        <v>0</v>
      </c>
      <c r="Q115" s="29">
        <f t="shared" si="10"/>
        <v>0</v>
      </c>
      <c r="R115" s="29">
        <f t="shared" si="11"/>
        <v>0</v>
      </c>
    </row>
    <row r="116" spans="10:18" ht="13.2" customHeight="1">
      <c r="J116" s="26">
        <f t="shared" si="8"/>
        <v>81032000</v>
      </c>
      <c r="K116" s="22"/>
      <c r="L116" s="23" t="str">
        <f>IFERROR(VLOOKUP(D116,마스터!$R$4:$S$40,2,0),"")</f>
        <v/>
      </c>
      <c r="M116" s="23" t="e">
        <f>VLOOKUP(L116,마스터!S:T,2,0)</f>
        <v>#N/A</v>
      </c>
      <c r="N116" s="23" t="str">
        <f>IFERROR(VLOOKUP(B116,마스터!$A$2:$B$8,2,0),"")</f>
        <v/>
      </c>
      <c r="O116" s="23" t="e">
        <f>VLOOKUP(N116,마스터!$B$1:$G$8,2,0)</f>
        <v>#N/A</v>
      </c>
      <c r="P116" s="23">
        <f t="shared" si="9"/>
        <v>0</v>
      </c>
      <c r="Q116" s="29">
        <f t="shared" si="10"/>
        <v>0</v>
      </c>
      <c r="R116" s="29">
        <f t="shared" si="11"/>
        <v>0</v>
      </c>
    </row>
    <row r="117" spans="10:18" ht="13.2" customHeight="1">
      <c r="J117" s="26">
        <f t="shared" si="8"/>
        <v>81032000</v>
      </c>
      <c r="K117" s="22"/>
      <c r="L117" s="23" t="str">
        <f>IFERROR(VLOOKUP(D117,마스터!$R$4:$S$40,2,0),"")</f>
        <v/>
      </c>
      <c r="M117" s="23" t="e">
        <f>VLOOKUP(L117,마스터!S:T,2,0)</f>
        <v>#N/A</v>
      </c>
      <c r="N117" s="23" t="str">
        <f>IFERROR(VLOOKUP(B117,마스터!$A$2:$B$8,2,0),"")</f>
        <v/>
      </c>
      <c r="O117" s="23" t="e">
        <f>VLOOKUP(N117,마스터!$B$1:$G$8,2,0)</f>
        <v>#N/A</v>
      </c>
      <c r="P117" s="23">
        <f t="shared" si="9"/>
        <v>0</v>
      </c>
      <c r="Q117" s="29">
        <f t="shared" si="10"/>
        <v>0</v>
      </c>
      <c r="R117" s="29">
        <f t="shared" si="11"/>
        <v>0</v>
      </c>
    </row>
    <row r="118" spans="10:18" ht="13.2" customHeight="1">
      <c r="J118" s="26">
        <f t="shared" si="8"/>
        <v>81032000</v>
      </c>
      <c r="K118" s="22"/>
      <c r="L118" s="23" t="str">
        <f>IFERROR(VLOOKUP(D118,마스터!$R$4:$S$40,2,0),"")</f>
        <v/>
      </c>
      <c r="M118" s="23" t="e">
        <f>VLOOKUP(L118,마스터!S:T,2,0)</f>
        <v>#N/A</v>
      </c>
      <c r="N118" s="23" t="str">
        <f>IFERROR(VLOOKUP(B118,마스터!$A$2:$B$8,2,0),"")</f>
        <v/>
      </c>
      <c r="O118" s="23" t="e">
        <f>VLOOKUP(N118,마스터!$B$1:$G$8,2,0)</f>
        <v>#N/A</v>
      </c>
      <c r="P118" s="23">
        <f t="shared" si="9"/>
        <v>0</v>
      </c>
      <c r="Q118" s="29">
        <f t="shared" si="10"/>
        <v>0</v>
      </c>
      <c r="R118" s="29">
        <f t="shared" si="11"/>
        <v>0</v>
      </c>
    </row>
    <row r="119" spans="10:18" ht="13.2" customHeight="1">
      <c r="J119" s="26">
        <f t="shared" si="8"/>
        <v>81032000</v>
      </c>
      <c r="K119" s="22"/>
      <c r="L119" s="23" t="str">
        <f>IFERROR(VLOOKUP(D119,마스터!$R$4:$S$40,2,0),"")</f>
        <v/>
      </c>
      <c r="M119" s="23" t="e">
        <f>VLOOKUP(L119,마스터!S:T,2,0)</f>
        <v>#N/A</v>
      </c>
      <c r="N119" s="23" t="str">
        <f>IFERROR(VLOOKUP(B119,마스터!$A$2:$B$8,2,0),"")</f>
        <v/>
      </c>
      <c r="O119" s="23" t="e">
        <f>VLOOKUP(N119,마스터!$B$1:$G$8,2,0)</f>
        <v>#N/A</v>
      </c>
      <c r="P119" s="23">
        <f t="shared" si="9"/>
        <v>0</v>
      </c>
      <c r="Q119" s="29">
        <f t="shared" si="10"/>
        <v>0</v>
      </c>
      <c r="R119" s="29">
        <f t="shared" si="11"/>
        <v>0</v>
      </c>
    </row>
    <row r="120" spans="10:18" ht="13.2" customHeight="1">
      <c r="J120" s="26">
        <f t="shared" si="8"/>
        <v>81032000</v>
      </c>
      <c r="K120" s="22"/>
      <c r="L120" s="23" t="str">
        <f>IFERROR(VLOOKUP(D120,마스터!$R$4:$S$40,2,0),"")</f>
        <v/>
      </c>
      <c r="M120" s="23" t="e">
        <f>VLOOKUP(L120,마스터!S:T,2,0)</f>
        <v>#N/A</v>
      </c>
      <c r="N120" s="23" t="str">
        <f>IFERROR(VLOOKUP(B120,마스터!$A$2:$B$8,2,0),"")</f>
        <v/>
      </c>
      <c r="O120" s="23" t="e">
        <f>VLOOKUP(N120,마스터!$B$1:$G$8,2,0)</f>
        <v>#N/A</v>
      </c>
      <c r="P120" s="23">
        <f t="shared" si="9"/>
        <v>0</v>
      </c>
      <c r="Q120" s="29">
        <f t="shared" si="10"/>
        <v>0</v>
      </c>
      <c r="R120" s="29">
        <f t="shared" si="11"/>
        <v>0</v>
      </c>
    </row>
    <row r="121" spans="10:18" ht="13.2" customHeight="1">
      <c r="J121" s="26">
        <f t="shared" si="8"/>
        <v>81032000</v>
      </c>
      <c r="K121" s="22"/>
      <c r="L121" s="23" t="str">
        <f>IFERROR(VLOOKUP(D121,마스터!$R$4:$S$40,2,0),"")</f>
        <v/>
      </c>
      <c r="M121" s="23" t="e">
        <f>VLOOKUP(L121,마스터!S:T,2,0)</f>
        <v>#N/A</v>
      </c>
      <c r="N121" s="23" t="str">
        <f>IFERROR(VLOOKUP(B121,마스터!$A$2:$B$8,2,0),"")</f>
        <v/>
      </c>
      <c r="O121" s="23" t="e">
        <f>VLOOKUP(N121,마스터!$B$1:$G$8,2,0)</f>
        <v>#N/A</v>
      </c>
      <c r="P121" s="23">
        <f t="shared" si="9"/>
        <v>0</v>
      </c>
      <c r="Q121" s="29">
        <f t="shared" si="10"/>
        <v>0</v>
      </c>
      <c r="R121" s="29">
        <f t="shared" si="11"/>
        <v>0</v>
      </c>
    </row>
    <row r="122" spans="10:18" ht="13.2" customHeight="1">
      <c r="J122" s="26">
        <f t="shared" si="8"/>
        <v>81032000</v>
      </c>
      <c r="K122" s="22"/>
      <c r="L122" s="23" t="str">
        <f>IFERROR(VLOOKUP(D122,마스터!$R$4:$S$40,2,0),"")</f>
        <v/>
      </c>
      <c r="M122" s="23" t="e">
        <f>VLOOKUP(L122,마스터!S:T,2,0)</f>
        <v>#N/A</v>
      </c>
      <c r="N122" s="23" t="str">
        <f>IFERROR(VLOOKUP(B122,마스터!$A$2:$B$8,2,0),"")</f>
        <v/>
      </c>
      <c r="O122" s="23" t="e">
        <f>VLOOKUP(N122,마스터!$B$1:$G$8,2,0)</f>
        <v>#N/A</v>
      </c>
      <c r="P122" s="23">
        <f t="shared" si="9"/>
        <v>0</v>
      </c>
      <c r="Q122" s="29">
        <f t="shared" si="10"/>
        <v>0</v>
      </c>
      <c r="R122" s="29">
        <f t="shared" si="11"/>
        <v>0</v>
      </c>
    </row>
    <row r="123" spans="10:18" ht="13.2" customHeight="1">
      <c r="J123" s="26">
        <f t="shared" si="8"/>
        <v>81032000</v>
      </c>
      <c r="K123" s="22"/>
      <c r="L123" s="23" t="str">
        <f>IFERROR(VLOOKUP(D123,마스터!$R$4:$S$40,2,0),"")</f>
        <v/>
      </c>
      <c r="M123" s="23" t="e">
        <f>VLOOKUP(L123,마스터!S:T,2,0)</f>
        <v>#N/A</v>
      </c>
      <c r="N123" s="23" t="str">
        <f>IFERROR(VLOOKUP(B123,마스터!$A$2:$B$8,2,0),"")</f>
        <v/>
      </c>
      <c r="O123" s="23" t="e">
        <f>VLOOKUP(N123,마스터!$B$1:$G$8,2,0)</f>
        <v>#N/A</v>
      </c>
      <c r="P123" s="23">
        <f t="shared" si="9"/>
        <v>0</v>
      </c>
      <c r="Q123" s="29">
        <f t="shared" si="10"/>
        <v>0</v>
      </c>
      <c r="R123" s="29">
        <f t="shared" si="11"/>
        <v>0</v>
      </c>
    </row>
    <row r="124" spans="10:18" ht="13.2" customHeight="1">
      <c r="J124" s="26">
        <f t="shared" si="8"/>
        <v>81032000</v>
      </c>
      <c r="K124" s="22"/>
      <c r="L124" s="23" t="str">
        <f>IFERROR(VLOOKUP(D124,마스터!$R$4:$S$40,2,0),"")</f>
        <v/>
      </c>
      <c r="M124" s="23" t="e">
        <f>VLOOKUP(L124,마스터!S:T,2,0)</f>
        <v>#N/A</v>
      </c>
      <c r="N124" s="23" t="str">
        <f>IFERROR(VLOOKUP(B124,마스터!$A$2:$B$8,2,0),"")</f>
        <v/>
      </c>
      <c r="O124" s="23" t="e">
        <f>VLOOKUP(N124,마스터!$B$1:$G$8,2,0)</f>
        <v>#N/A</v>
      </c>
      <c r="P124" s="23">
        <f t="shared" si="9"/>
        <v>0</v>
      </c>
      <c r="Q124" s="29">
        <f t="shared" si="10"/>
        <v>0</v>
      </c>
      <c r="R124" s="29">
        <f t="shared" si="11"/>
        <v>0</v>
      </c>
    </row>
    <row r="125" spans="10:18" ht="13.2" customHeight="1">
      <c r="J125" s="26">
        <f t="shared" si="8"/>
        <v>81032000</v>
      </c>
      <c r="K125" s="22"/>
      <c r="L125" s="23" t="str">
        <f>IFERROR(VLOOKUP(D125,마스터!$R$4:$S$40,2,0),"")</f>
        <v/>
      </c>
      <c r="M125" s="23" t="e">
        <f>VLOOKUP(L125,마스터!S:T,2,0)</f>
        <v>#N/A</v>
      </c>
      <c r="N125" s="23" t="str">
        <f>IFERROR(VLOOKUP(B125,마스터!$A$2:$B$8,2,0),"")</f>
        <v/>
      </c>
      <c r="O125" s="23" t="e">
        <f>VLOOKUP(N125,마스터!$B$1:$G$8,2,0)</f>
        <v>#N/A</v>
      </c>
      <c r="P125" s="23">
        <f t="shared" si="9"/>
        <v>0</v>
      </c>
      <c r="Q125" s="29">
        <f t="shared" si="10"/>
        <v>0</v>
      </c>
      <c r="R125" s="29">
        <f t="shared" si="11"/>
        <v>0</v>
      </c>
    </row>
    <row r="126" spans="10:18" ht="13.2" customHeight="1">
      <c r="J126" s="26">
        <f t="shared" si="8"/>
        <v>81032000</v>
      </c>
      <c r="K126" s="22"/>
      <c r="L126" s="23" t="str">
        <f>IFERROR(VLOOKUP(D126,마스터!$R$4:$S$40,2,0),"")</f>
        <v/>
      </c>
      <c r="M126" s="23" t="e">
        <f>VLOOKUP(L126,마스터!S:T,2,0)</f>
        <v>#N/A</v>
      </c>
      <c r="N126" s="23" t="str">
        <f>IFERROR(VLOOKUP(B126,마스터!$A$2:$B$8,2,0),"")</f>
        <v/>
      </c>
      <c r="O126" s="23" t="e">
        <f>VLOOKUP(N126,마스터!$B$1:$G$8,2,0)</f>
        <v>#N/A</v>
      </c>
      <c r="P126" s="23">
        <f t="shared" si="9"/>
        <v>0</v>
      </c>
      <c r="Q126" s="29">
        <f t="shared" si="10"/>
        <v>0</v>
      </c>
      <c r="R126" s="29">
        <f t="shared" si="11"/>
        <v>0</v>
      </c>
    </row>
    <row r="127" spans="10:18" ht="13.2" customHeight="1">
      <c r="J127" s="26">
        <f t="shared" si="8"/>
        <v>81032000</v>
      </c>
      <c r="K127" s="22"/>
      <c r="L127" s="23" t="str">
        <f>IFERROR(VLOOKUP(D127,마스터!$R$4:$S$40,2,0),"")</f>
        <v/>
      </c>
      <c r="M127" s="23" t="e">
        <f>VLOOKUP(L127,마스터!S:T,2,0)</f>
        <v>#N/A</v>
      </c>
      <c r="N127" s="23" t="str">
        <f>IFERROR(VLOOKUP(B127,마스터!$A$2:$B$8,2,0),"")</f>
        <v/>
      </c>
      <c r="O127" s="23" t="e">
        <f>VLOOKUP(N127,마스터!$B$1:$G$8,2,0)</f>
        <v>#N/A</v>
      </c>
      <c r="P127" s="23">
        <f t="shared" si="9"/>
        <v>0</v>
      </c>
      <c r="Q127" s="29">
        <f t="shared" si="10"/>
        <v>0</v>
      </c>
      <c r="R127" s="29">
        <f t="shared" si="11"/>
        <v>0</v>
      </c>
    </row>
    <row r="128" spans="10:18" ht="13.2" customHeight="1">
      <c r="J128" s="26">
        <f t="shared" si="8"/>
        <v>81032000</v>
      </c>
      <c r="K128" s="22"/>
      <c r="L128" s="23" t="str">
        <f>IFERROR(VLOOKUP(D128,마스터!$R$4:$S$40,2,0),"")</f>
        <v/>
      </c>
      <c r="M128" s="23" t="e">
        <f>VLOOKUP(L128,마스터!S:T,2,0)</f>
        <v>#N/A</v>
      </c>
      <c r="N128" s="23" t="str">
        <f>IFERROR(VLOOKUP(B128,마스터!$A$2:$B$8,2,0),"")</f>
        <v/>
      </c>
      <c r="O128" s="23" t="e">
        <f>VLOOKUP(N128,마스터!$B$1:$G$8,2,0)</f>
        <v>#N/A</v>
      </c>
      <c r="P128" s="23">
        <f t="shared" si="9"/>
        <v>0</v>
      </c>
      <c r="Q128" s="29">
        <f t="shared" si="10"/>
        <v>0</v>
      </c>
      <c r="R128" s="29">
        <f t="shared" si="11"/>
        <v>0</v>
      </c>
    </row>
    <row r="129" spans="10:18" ht="13.2" customHeight="1">
      <c r="J129" s="26">
        <f t="shared" si="8"/>
        <v>81032000</v>
      </c>
      <c r="K129" s="22"/>
      <c r="L129" s="23" t="str">
        <f>IFERROR(VLOOKUP(D129,마스터!$R$4:$S$40,2,0),"")</f>
        <v/>
      </c>
      <c r="M129" s="23" t="e">
        <f>VLOOKUP(L129,마스터!S:T,2,0)</f>
        <v>#N/A</v>
      </c>
      <c r="N129" s="23" t="str">
        <f>IFERROR(VLOOKUP(B129,마스터!$A$2:$B$8,2,0),"")</f>
        <v/>
      </c>
      <c r="O129" s="23" t="e">
        <f>VLOOKUP(N129,마스터!$B$1:$G$8,2,0)</f>
        <v>#N/A</v>
      </c>
      <c r="P129" s="23">
        <f t="shared" si="9"/>
        <v>0</v>
      </c>
      <c r="Q129" s="29">
        <f t="shared" si="10"/>
        <v>0</v>
      </c>
      <c r="R129" s="29">
        <f t="shared" si="11"/>
        <v>0</v>
      </c>
    </row>
    <row r="130" spans="10:18" ht="13.2" customHeight="1">
      <c r="J130" s="26">
        <f t="shared" si="8"/>
        <v>81032000</v>
      </c>
      <c r="K130" s="22"/>
      <c r="L130" s="23" t="str">
        <f>IFERROR(VLOOKUP(D130,마스터!$R$4:$S$40,2,0),"")</f>
        <v/>
      </c>
      <c r="M130" s="23" t="e">
        <f>VLOOKUP(L130,마스터!S:T,2,0)</f>
        <v>#N/A</v>
      </c>
      <c r="N130" s="23" t="str">
        <f>IFERROR(VLOOKUP(B130,마스터!$A$2:$B$8,2,0),"")</f>
        <v/>
      </c>
      <c r="O130" s="23" t="e">
        <f>VLOOKUP(N130,마스터!$B$1:$G$8,2,0)</f>
        <v>#N/A</v>
      </c>
      <c r="P130" s="23">
        <f t="shared" si="9"/>
        <v>0</v>
      </c>
      <c r="Q130" s="29">
        <f t="shared" si="10"/>
        <v>0</v>
      </c>
      <c r="R130" s="29">
        <f t="shared" si="11"/>
        <v>0</v>
      </c>
    </row>
    <row r="131" spans="10:18" ht="13.2" customHeight="1">
      <c r="J131" s="26">
        <f t="shared" si="8"/>
        <v>81032000</v>
      </c>
      <c r="K131" s="22"/>
      <c r="L131" s="23" t="str">
        <f>IFERROR(VLOOKUP(D131,마스터!$R$4:$S$40,2,0),"")</f>
        <v/>
      </c>
      <c r="M131" s="23" t="e">
        <f>VLOOKUP(L131,마스터!S:T,2,0)</f>
        <v>#N/A</v>
      </c>
      <c r="N131" s="23" t="str">
        <f>IFERROR(VLOOKUP(B131,마스터!$A$2:$B$8,2,0),"")</f>
        <v/>
      </c>
      <c r="O131" s="23" t="e">
        <f>VLOOKUP(N131,마스터!$B$1:$G$8,2,0)</f>
        <v>#N/A</v>
      </c>
      <c r="P131" s="23">
        <f t="shared" si="9"/>
        <v>0</v>
      </c>
      <c r="Q131" s="29">
        <f t="shared" si="10"/>
        <v>0</v>
      </c>
      <c r="R131" s="29">
        <f t="shared" si="11"/>
        <v>0</v>
      </c>
    </row>
    <row r="132" spans="10:18" ht="13.2" customHeight="1">
      <c r="J132" s="26">
        <f t="shared" si="8"/>
        <v>81032000</v>
      </c>
      <c r="K132" s="22"/>
      <c r="L132" s="23" t="str">
        <f>IFERROR(VLOOKUP(D132,마스터!$R$4:$S$40,2,0),"")</f>
        <v/>
      </c>
      <c r="M132" s="23" t="e">
        <f>VLOOKUP(L132,마스터!S:T,2,0)</f>
        <v>#N/A</v>
      </c>
      <c r="N132" s="23" t="str">
        <f>IFERROR(VLOOKUP(B132,마스터!$A$2:$B$8,2,0),"")</f>
        <v/>
      </c>
      <c r="O132" s="23" t="e">
        <f>VLOOKUP(N132,마스터!$B$1:$G$8,2,0)</f>
        <v>#N/A</v>
      </c>
      <c r="P132" s="23">
        <f t="shared" si="9"/>
        <v>0</v>
      </c>
      <c r="Q132" s="29">
        <f t="shared" si="10"/>
        <v>0</v>
      </c>
      <c r="R132" s="29">
        <f t="shared" si="11"/>
        <v>0</v>
      </c>
    </row>
    <row r="133" spans="10:18" ht="13.2" customHeight="1">
      <c r="J133" s="26">
        <f t="shared" si="8"/>
        <v>81032000</v>
      </c>
      <c r="K133" s="22"/>
      <c r="L133" s="23" t="str">
        <f>IFERROR(VLOOKUP(D133,마스터!$R$4:$S$40,2,0),"")</f>
        <v/>
      </c>
      <c r="M133" s="23" t="e">
        <f>VLOOKUP(L133,마스터!S:T,2,0)</f>
        <v>#N/A</v>
      </c>
      <c r="N133" s="23" t="str">
        <f>IFERROR(VLOOKUP(B133,마스터!$A$2:$B$8,2,0),"")</f>
        <v/>
      </c>
      <c r="O133" s="23" t="e">
        <f>VLOOKUP(N133,마스터!$B$1:$G$8,2,0)</f>
        <v>#N/A</v>
      </c>
      <c r="P133" s="23">
        <f t="shared" si="9"/>
        <v>0</v>
      </c>
      <c r="Q133" s="29">
        <f t="shared" si="10"/>
        <v>0</v>
      </c>
      <c r="R133" s="29">
        <f t="shared" si="11"/>
        <v>0</v>
      </c>
    </row>
    <row r="134" spans="10:18" ht="13.2" customHeight="1">
      <c r="J134" s="26">
        <f t="shared" ref="J134:J171" si="12">$L$2</f>
        <v>81032000</v>
      </c>
      <c r="K134" s="22"/>
      <c r="L134" s="23" t="str">
        <f>IFERROR(VLOOKUP(D134,마스터!$R$4:$S$40,2,0),"")</f>
        <v/>
      </c>
      <c r="M134" s="23" t="e">
        <f>VLOOKUP(L134,마스터!S:T,2,0)</f>
        <v>#N/A</v>
      </c>
      <c r="N134" s="23" t="str">
        <f>IFERROR(VLOOKUP(B134,마스터!$A$2:$B$8,2,0),"")</f>
        <v/>
      </c>
      <c r="O134" s="23" t="e">
        <f>VLOOKUP(N134,마스터!$B$1:$G$8,2,0)</f>
        <v>#N/A</v>
      </c>
      <c r="P134" s="23">
        <f t="shared" si="9"/>
        <v>0</v>
      </c>
      <c r="Q134" s="29">
        <f t="shared" si="10"/>
        <v>0</v>
      </c>
      <c r="R134" s="29">
        <f t="shared" si="11"/>
        <v>0</v>
      </c>
    </row>
    <row r="135" spans="10:18" ht="13.2" customHeight="1">
      <c r="J135" s="26">
        <f t="shared" si="12"/>
        <v>81032000</v>
      </c>
      <c r="K135" s="22"/>
      <c r="L135" s="23" t="str">
        <f>IFERROR(VLOOKUP(D135,마스터!$R$4:$S$40,2,0),"")</f>
        <v/>
      </c>
      <c r="M135" s="23" t="e">
        <f>VLOOKUP(L135,마스터!S:T,2,0)</f>
        <v>#N/A</v>
      </c>
      <c r="N135" s="23" t="str">
        <f>IFERROR(VLOOKUP(B135,마스터!$A$2:$B$8,2,0),"")</f>
        <v/>
      </c>
      <c r="O135" s="23" t="e">
        <f>VLOOKUP(N135,마스터!$B$1:$G$8,2,0)</f>
        <v>#N/A</v>
      </c>
      <c r="P135" s="23">
        <f t="shared" si="9"/>
        <v>0</v>
      </c>
      <c r="Q135" s="29">
        <f t="shared" si="10"/>
        <v>0</v>
      </c>
      <c r="R135" s="29">
        <f t="shared" si="11"/>
        <v>0</v>
      </c>
    </row>
    <row r="136" spans="10:18" ht="13.2" customHeight="1">
      <c r="J136" s="26">
        <f t="shared" si="12"/>
        <v>81032000</v>
      </c>
      <c r="K136" s="22"/>
      <c r="L136" s="23" t="str">
        <f>IFERROR(VLOOKUP(D136,마스터!$R$4:$S$40,2,0),"")</f>
        <v/>
      </c>
      <c r="M136" s="23" t="e">
        <f>VLOOKUP(L136,마스터!S:T,2,0)</f>
        <v>#N/A</v>
      </c>
      <c r="N136" s="23" t="str">
        <f>IFERROR(VLOOKUP(B136,마스터!$A$2:$B$8,2,0),"")</f>
        <v/>
      </c>
      <c r="O136" s="23" t="e">
        <f>VLOOKUP(N136,마스터!$B$1:$G$8,2,0)</f>
        <v>#N/A</v>
      </c>
      <c r="P136" s="23">
        <f t="shared" si="9"/>
        <v>0</v>
      </c>
      <c r="Q136" s="29">
        <f t="shared" si="10"/>
        <v>0</v>
      </c>
      <c r="R136" s="29">
        <f t="shared" si="11"/>
        <v>0</v>
      </c>
    </row>
    <row r="137" spans="10:18" ht="13.2" customHeight="1">
      <c r="J137" s="26">
        <f t="shared" si="12"/>
        <v>81032000</v>
      </c>
      <c r="K137" s="22"/>
      <c r="L137" s="23" t="str">
        <f>IFERROR(VLOOKUP(D137,마스터!$R$4:$S$40,2,0),"")</f>
        <v/>
      </c>
      <c r="M137" s="23" t="e">
        <f>VLOOKUP(L137,마스터!S:T,2,0)</f>
        <v>#N/A</v>
      </c>
      <c r="N137" s="23" t="str">
        <f>IFERROR(VLOOKUP(B137,마스터!$A$2:$B$8,2,0),"")</f>
        <v/>
      </c>
      <c r="O137" s="23" t="e">
        <f>VLOOKUP(N137,마스터!$B$1:$G$8,2,0)</f>
        <v>#N/A</v>
      </c>
      <c r="P137" s="23">
        <f t="shared" si="9"/>
        <v>0</v>
      </c>
      <c r="Q137" s="29">
        <f t="shared" si="10"/>
        <v>0</v>
      </c>
      <c r="R137" s="29">
        <f t="shared" si="11"/>
        <v>0</v>
      </c>
    </row>
    <row r="138" spans="10:18" ht="13.2" customHeight="1">
      <c r="J138" s="26">
        <f t="shared" si="12"/>
        <v>81032000</v>
      </c>
      <c r="K138" s="22"/>
      <c r="L138" s="23" t="str">
        <f>IFERROR(VLOOKUP(D138,마스터!$R$4:$S$40,2,0),"")</f>
        <v/>
      </c>
      <c r="M138" s="23" t="e">
        <f>VLOOKUP(L138,마스터!S:T,2,0)</f>
        <v>#N/A</v>
      </c>
      <c r="N138" s="23" t="str">
        <f>IFERROR(VLOOKUP(B138,마스터!$A$2:$B$8,2,0),"")</f>
        <v/>
      </c>
      <c r="O138" s="23" t="e">
        <f>VLOOKUP(N138,마스터!$B$1:$G$8,2,0)</f>
        <v>#N/A</v>
      </c>
      <c r="P138" s="23">
        <f t="shared" si="9"/>
        <v>0</v>
      </c>
      <c r="Q138" s="29">
        <f t="shared" si="10"/>
        <v>0</v>
      </c>
      <c r="R138" s="29">
        <f t="shared" si="11"/>
        <v>0</v>
      </c>
    </row>
    <row r="139" spans="10:18" ht="13.2" customHeight="1">
      <c r="J139" s="26">
        <f t="shared" si="12"/>
        <v>81032000</v>
      </c>
      <c r="K139" s="22"/>
      <c r="L139" s="23" t="str">
        <f>IFERROR(VLOOKUP(D139,마스터!$R$4:$S$40,2,0),"")</f>
        <v/>
      </c>
      <c r="M139" s="23" t="e">
        <f>VLOOKUP(L139,마스터!S:T,2,0)</f>
        <v>#N/A</v>
      </c>
      <c r="N139" s="23" t="str">
        <f>IFERROR(VLOOKUP(B139,마스터!$A$2:$B$8,2,0),"")</f>
        <v/>
      </c>
      <c r="O139" s="23" t="e">
        <f>VLOOKUP(N139,마스터!$B$1:$G$8,2,0)</f>
        <v>#N/A</v>
      </c>
      <c r="P139" s="23">
        <f t="shared" si="9"/>
        <v>0</v>
      </c>
      <c r="Q139" s="29">
        <f t="shared" si="10"/>
        <v>0</v>
      </c>
      <c r="R139" s="29">
        <f t="shared" si="11"/>
        <v>0</v>
      </c>
    </row>
    <row r="140" spans="10:18" ht="13.2" customHeight="1">
      <c r="J140" s="26">
        <f t="shared" si="12"/>
        <v>81032000</v>
      </c>
      <c r="K140" s="22"/>
      <c r="L140" s="23" t="str">
        <f>IFERROR(VLOOKUP(D140,마스터!$R$4:$S$40,2,0),"")</f>
        <v/>
      </c>
      <c r="M140" s="23" t="e">
        <f>VLOOKUP(L140,마스터!S:T,2,0)</f>
        <v>#N/A</v>
      </c>
      <c r="N140" s="23" t="str">
        <f>IFERROR(VLOOKUP(B140,마스터!$A$2:$B$8,2,0),"")</f>
        <v/>
      </c>
      <c r="O140" s="23" t="e">
        <f>VLOOKUP(N140,마스터!$B$1:$G$8,2,0)</f>
        <v>#N/A</v>
      </c>
      <c r="P140" s="23">
        <f t="shared" si="9"/>
        <v>0</v>
      </c>
      <c r="Q140" s="29">
        <f t="shared" si="10"/>
        <v>0</v>
      </c>
      <c r="R140" s="29">
        <f t="shared" si="11"/>
        <v>0</v>
      </c>
    </row>
    <row r="141" spans="10:18" ht="13.2" customHeight="1">
      <c r="J141" s="26">
        <f t="shared" si="12"/>
        <v>81032000</v>
      </c>
      <c r="K141" s="22"/>
      <c r="L141" s="23" t="str">
        <f>IFERROR(VLOOKUP(D141,마스터!$R$4:$S$40,2,0),"")</f>
        <v/>
      </c>
      <c r="M141" s="23" t="e">
        <f>VLOOKUP(L141,마스터!S:T,2,0)</f>
        <v>#N/A</v>
      </c>
      <c r="N141" s="23" t="str">
        <f>IFERROR(VLOOKUP(B141,마스터!$A$2:$B$8,2,0),"")</f>
        <v/>
      </c>
      <c r="O141" s="23" t="e">
        <f>VLOOKUP(N141,마스터!$B$1:$G$8,2,0)</f>
        <v>#N/A</v>
      </c>
      <c r="P141" s="23">
        <f t="shared" si="9"/>
        <v>0</v>
      </c>
      <c r="Q141" s="29">
        <f t="shared" si="10"/>
        <v>0</v>
      </c>
      <c r="R141" s="29">
        <f t="shared" si="11"/>
        <v>0</v>
      </c>
    </row>
    <row r="142" spans="10:18" ht="13.2" customHeight="1">
      <c r="J142" s="26">
        <f t="shared" si="12"/>
        <v>81032000</v>
      </c>
      <c r="K142" s="22"/>
      <c r="L142" s="23" t="str">
        <f>IFERROR(VLOOKUP(D142,마스터!$R$4:$S$40,2,0),"")</f>
        <v/>
      </c>
      <c r="M142" s="23" t="e">
        <f>VLOOKUP(L142,마스터!S:T,2,0)</f>
        <v>#N/A</v>
      </c>
      <c r="N142" s="23" t="str">
        <f>IFERROR(VLOOKUP(B142,마스터!$A$2:$B$8,2,0),"")</f>
        <v/>
      </c>
      <c r="O142" s="23" t="e">
        <f>VLOOKUP(N142,마스터!$B$1:$G$8,2,0)</f>
        <v>#N/A</v>
      </c>
      <c r="P142" s="23">
        <f t="shared" si="9"/>
        <v>0</v>
      </c>
      <c r="Q142" s="29">
        <f t="shared" si="10"/>
        <v>0</v>
      </c>
      <c r="R142" s="29">
        <f t="shared" si="11"/>
        <v>0</v>
      </c>
    </row>
    <row r="143" spans="10:18" ht="13.2" customHeight="1">
      <c r="J143" s="26">
        <f t="shared" si="12"/>
        <v>81032000</v>
      </c>
      <c r="K143" s="22"/>
      <c r="L143" s="23" t="str">
        <f>IFERROR(VLOOKUP(D143,마스터!$R$4:$S$40,2,0),"")</f>
        <v/>
      </c>
      <c r="M143" s="23" t="e">
        <f>VLOOKUP(L143,마스터!S:T,2,0)</f>
        <v>#N/A</v>
      </c>
      <c r="N143" s="23" t="str">
        <f>IFERROR(VLOOKUP(B143,마스터!$A$2:$B$8,2,0),"")</f>
        <v/>
      </c>
      <c r="O143" s="23" t="e">
        <f>VLOOKUP(N143,마스터!$B$1:$G$8,2,0)</f>
        <v>#N/A</v>
      </c>
      <c r="P143" s="23">
        <f t="shared" si="9"/>
        <v>0</v>
      </c>
      <c r="Q143" s="29">
        <f t="shared" si="10"/>
        <v>0</v>
      </c>
      <c r="R143" s="29">
        <f t="shared" si="11"/>
        <v>0</v>
      </c>
    </row>
    <row r="144" spans="10:18" ht="13.2" customHeight="1">
      <c r="J144" s="26">
        <f t="shared" si="12"/>
        <v>81032000</v>
      </c>
      <c r="K144" s="22"/>
      <c r="L144" s="23" t="str">
        <f>IFERROR(VLOOKUP(D144,마스터!$R$4:$S$40,2,0),"")</f>
        <v/>
      </c>
      <c r="M144" s="23" t="e">
        <f>VLOOKUP(L144,마스터!S:T,2,0)</f>
        <v>#N/A</v>
      </c>
      <c r="N144" s="23" t="str">
        <f>IFERROR(VLOOKUP(B144,마스터!$A$2:$B$8,2,0),"")</f>
        <v/>
      </c>
      <c r="O144" s="23" t="e">
        <f>VLOOKUP(N144,마스터!$B$1:$G$8,2,0)</f>
        <v>#N/A</v>
      </c>
      <c r="P144" s="23">
        <f t="shared" si="9"/>
        <v>0</v>
      </c>
      <c r="Q144" s="29">
        <f t="shared" si="10"/>
        <v>0</v>
      </c>
      <c r="R144" s="29">
        <f t="shared" si="11"/>
        <v>0</v>
      </c>
    </row>
    <row r="145" spans="10:18" ht="13.2" customHeight="1">
      <c r="J145" s="26">
        <f t="shared" si="12"/>
        <v>81032000</v>
      </c>
      <c r="K145" s="22"/>
      <c r="L145" s="23" t="str">
        <f>IFERROR(VLOOKUP(D145,마스터!$R$4:$S$40,2,0),"")</f>
        <v/>
      </c>
      <c r="M145" s="23" t="e">
        <f>VLOOKUP(L145,마스터!S:T,2,0)</f>
        <v>#N/A</v>
      </c>
      <c r="N145" s="23" t="str">
        <f>IFERROR(VLOOKUP(B145,마스터!$A$2:$B$8,2,0),"")</f>
        <v/>
      </c>
      <c r="O145" s="23" t="e">
        <f>VLOOKUP(N145,마스터!$B$1:$G$8,2,0)</f>
        <v>#N/A</v>
      </c>
      <c r="P145" s="23">
        <f t="shared" si="9"/>
        <v>0</v>
      </c>
      <c r="Q145" s="29">
        <f t="shared" si="10"/>
        <v>0</v>
      </c>
      <c r="R145" s="29">
        <f t="shared" si="11"/>
        <v>0</v>
      </c>
    </row>
    <row r="146" spans="10:18" ht="13.2" customHeight="1">
      <c r="J146" s="26">
        <f t="shared" si="12"/>
        <v>81032000</v>
      </c>
      <c r="K146" s="22"/>
      <c r="L146" s="23" t="str">
        <f>IFERROR(VLOOKUP(D146,마스터!$R$4:$S$40,2,0),"")</f>
        <v/>
      </c>
      <c r="M146" s="23" t="e">
        <f>VLOOKUP(L146,마스터!S:T,2,0)</f>
        <v>#N/A</v>
      </c>
      <c r="N146" s="23" t="str">
        <f>IFERROR(VLOOKUP(B146,마스터!$A$2:$B$8,2,0),"")</f>
        <v/>
      </c>
      <c r="O146" s="23" t="e">
        <f>VLOOKUP(N146,마스터!$B$1:$G$8,2,0)</f>
        <v>#N/A</v>
      </c>
      <c r="P146" s="23">
        <f t="shared" si="9"/>
        <v>0</v>
      </c>
      <c r="Q146" s="29">
        <f t="shared" si="10"/>
        <v>0</v>
      </c>
      <c r="R146" s="29">
        <f t="shared" si="11"/>
        <v>0</v>
      </c>
    </row>
    <row r="147" spans="10:18" ht="13.2" customHeight="1">
      <c r="J147" s="26">
        <f t="shared" si="12"/>
        <v>81032000</v>
      </c>
      <c r="K147" s="22"/>
      <c r="L147" s="23" t="str">
        <f>IFERROR(VLOOKUP(D147,마스터!$R$4:$S$40,2,0),"")</f>
        <v/>
      </c>
      <c r="M147" s="23" t="e">
        <f>VLOOKUP(L147,마스터!S:T,2,0)</f>
        <v>#N/A</v>
      </c>
      <c r="N147" s="23" t="str">
        <f>IFERROR(VLOOKUP(B147,마스터!$A$2:$B$8,2,0),"")</f>
        <v/>
      </c>
      <c r="O147" s="23" t="e">
        <f>VLOOKUP(N147,마스터!$B$1:$G$8,2,0)</f>
        <v>#N/A</v>
      </c>
      <c r="P147" s="23">
        <f t="shared" si="9"/>
        <v>0</v>
      </c>
      <c r="Q147" s="29">
        <f t="shared" si="10"/>
        <v>0</v>
      </c>
      <c r="R147" s="29">
        <f t="shared" si="11"/>
        <v>0</v>
      </c>
    </row>
    <row r="148" spans="10:18" ht="13.2" customHeight="1">
      <c r="J148" s="26">
        <f t="shared" si="12"/>
        <v>81032000</v>
      </c>
      <c r="K148" s="22"/>
      <c r="L148" s="23" t="str">
        <f>IFERROR(VLOOKUP(D148,마스터!$R$4:$S$40,2,0),"")</f>
        <v/>
      </c>
      <c r="M148" s="23" t="e">
        <f>VLOOKUP(L148,마스터!S:T,2,0)</f>
        <v>#N/A</v>
      </c>
      <c r="N148" s="23" t="str">
        <f>IFERROR(VLOOKUP(B148,마스터!$A$2:$B$8,2,0),"")</f>
        <v/>
      </c>
      <c r="O148" s="23" t="e">
        <f>VLOOKUP(N148,마스터!$B$1:$G$8,2,0)</f>
        <v>#N/A</v>
      </c>
      <c r="P148" s="23">
        <f t="shared" si="9"/>
        <v>0</v>
      </c>
      <c r="Q148" s="29">
        <f t="shared" si="10"/>
        <v>0</v>
      </c>
      <c r="R148" s="29">
        <f t="shared" si="11"/>
        <v>0</v>
      </c>
    </row>
    <row r="149" spans="10:18" ht="13.2" customHeight="1">
      <c r="J149" s="26">
        <f t="shared" si="12"/>
        <v>81032000</v>
      </c>
      <c r="K149" s="22"/>
      <c r="L149" s="23" t="str">
        <f>IFERROR(VLOOKUP(D149,마스터!$R$4:$S$40,2,0),"")</f>
        <v/>
      </c>
      <c r="M149" s="23" t="e">
        <f>VLOOKUP(L149,마스터!S:T,2,0)</f>
        <v>#N/A</v>
      </c>
      <c r="N149" s="23" t="str">
        <f>IFERROR(VLOOKUP(B149,마스터!$A$2:$B$8,2,0),"")</f>
        <v/>
      </c>
      <c r="O149" s="23" t="e">
        <f>VLOOKUP(N149,마스터!$B$1:$G$8,2,0)</f>
        <v>#N/A</v>
      </c>
      <c r="P149" s="23">
        <f t="shared" si="9"/>
        <v>0</v>
      </c>
      <c r="Q149" s="29">
        <f t="shared" si="10"/>
        <v>0</v>
      </c>
      <c r="R149" s="29">
        <f t="shared" si="11"/>
        <v>0</v>
      </c>
    </row>
    <row r="150" spans="10:18" ht="13.2" customHeight="1">
      <c r="J150" s="26">
        <f t="shared" si="12"/>
        <v>81032000</v>
      </c>
      <c r="K150" s="22"/>
      <c r="L150" s="23" t="str">
        <f>IFERROR(VLOOKUP(D150,마스터!$R$4:$S$40,2,0),"")</f>
        <v/>
      </c>
      <c r="M150" s="23" t="e">
        <f>VLOOKUP(L150,마스터!S:T,2,0)</f>
        <v>#N/A</v>
      </c>
      <c r="N150" s="23" t="str">
        <f>IFERROR(VLOOKUP(B150,마스터!$A$2:$B$8,2,0),"")</f>
        <v/>
      </c>
      <c r="O150" s="23" t="e">
        <f>VLOOKUP(N150,마스터!$B$1:$G$8,2,0)</f>
        <v>#N/A</v>
      </c>
      <c r="P150" s="23">
        <f t="shared" si="9"/>
        <v>0</v>
      </c>
      <c r="Q150" s="29">
        <f t="shared" si="10"/>
        <v>0</v>
      </c>
      <c r="R150" s="29">
        <f t="shared" si="11"/>
        <v>0</v>
      </c>
    </row>
    <row r="151" spans="10:18" ht="13.2" customHeight="1">
      <c r="J151" s="26">
        <f t="shared" si="12"/>
        <v>81032000</v>
      </c>
      <c r="K151" s="22"/>
      <c r="L151" s="23" t="str">
        <f>IFERROR(VLOOKUP(D151,마스터!$R$4:$S$40,2,0),"")</f>
        <v/>
      </c>
      <c r="M151" s="23" t="e">
        <f>VLOOKUP(L151,마스터!S:T,2,0)</f>
        <v>#N/A</v>
      </c>
      <c r="N151" s="23" t="str">
        <f>IFERROR(VLOOKUP(B151,마스터!$A$2:$B$8,2,0),"")</f>
        <v/>
      </c>
      <c r="O151" s="23" t="e">
        <f>VLOOKUP(N151,마스터!$B$1:$G$8,2,0)</f>
        <v>#N/A</v>
      </c>
      <c r="P151" s="23">
        <f t="shared" si="9"/>
        <v>0</v>
      </c>
      <c r="Q151" s="29">
        <f t="shared" si="10"/>
        <v>0</v>
      </c>
      <c r="R151" s="29">
        <f t="shared" si="11"/>
        <v>0</v>
      </c>
    </row>
    <row r="152" spans="10:18" ht="13.2" customHeight="1">
      <c r="J152" s="26">
        <f t="shared" si="12"/>
        <v>81032000</v>
      </c>
      <c r="K152" s="22"/>
      <c r="L152" s="23" t="str">
        <f>IFERROR(VLOOKUP(D152,마스터!$R$4:$S$40,2,0),"")</f>
        <v/>
      </c>
      <c r="M152" s="23" t="e">
        <f>VLOOKUP(L152,마스터!S:T,2,0)</f>
        <v>#N/A</v>
      </c>
      <c r="N152" s="23" t="str">
        <f>IFERROR(VLOOKUP(B152,마스터!$A$2:$B$8,2,0),"")</f>
        <v/>
      </c>
      <c r="O152" s="23" t="e">
        <f>VLOOKUP(N152,마스터!$B$1:$G$8,2,0)</f>
        <v>#N/A</v>
      </c>
      <c r="P152" s="23">
        <f t="shared" si="9"/>
        <v>0</v>
      </c>
      <c r="Q152" s="29">
        <f t="shared" si="10"/>
        <v>0</v>
      </c>
      <c r="R152" s="29">
        <f t="shared" si="11"/>
        <v>0</v>
      </c>
    </row>
    <row r="153" spans="10:18" ht="13.2" customHeight="1">
      <c r="J153" s="26">
        <f t="shared" si="12"/>
        <v>81032000</v>
      </c>
      <c r="K153" s="22"/>
      <c r="L153" s="23" t="str">
        <f>IFERROR(VLOOKUP(D153,마스터!$R$4:$S$40,2,0),"")</f>
        <v/>
      </c>
      <c r="M153" s="23" t="e">
        <f>VLOOKUP(L153,마스터!S:T,2,0)</f>
        <v>#N/A</v>
      </c>
      <c r="N153" s="23" t="str">
        <f>IFERROR(VLOOKUP(B153,마스터!$A$2:$B$8,2,0),"")</f>
        <v/>
      </c>
      <c r="O153" s="23" t="e">
        <f>VLOOKUP(N153,마스터!$B$1:$G$8,2,0)</f>
        <v>#N/A</v>
      </c>
      <c r="P153" s="23">
        <f t="shared" si="9"/>
        <v>0</v>
      </c>
      <c r="Q153" s="29">
        <f t="shared" si="10"/>
        <v>0</v>
      </c>
      <c r="R153" s="29">
        <f t="shared" si="11"/>
        <v>0</v>
      </c>
    </row>
    <row r="154" spans="10:18" ht="13.2" customHeight="1">
      <c r="J154" s="26">
        <f t="shared" si="12"/>
        <v>81032000</v>
      </c>
      <c r="K154" s="22"/>
      <c r="L154" s="23" t="str">
        <f>IFERROR(VLOOKUP(D154,마스터!$R$4:$S$40,2,0),"")</f>
        <v/>
      </c>
      <c r="M154" s="23" t="e">
        <f>VLOOKUP(L154,마스터!S:T,2,0)</f>
        <v>#N/A</v>
      </c>
      <c r="N154" s="23" t="str">
        <f>IFERROR(VLOOKUP(B154,마스터!$A$2:$B$8,2,0),"")</f>
        <v/>
      </c>
      <c r="O154" s="23" t="e">
        <f>VLOOKUP(N154,마스터!$B$1:$G$8,2,0)</f>
        <v>#N/A</v>
      </c>
      <c r="P154" s="23">
        <f t="shared" si="9"/>
        <v>0</v>
      </c>
      <c r="Q154" s="29">
        <f t="shared" si="10"/>
        <v>0</v>
      </c>
      <c r="R154" s="29">
        <f t="shared" si="11"/>
        <v>0</v>
      </c>
    </row>
    <row r="155" spans="10:18" ht="13.2" customHeight="1">
      <c r="J155" s="26">
        <f t="shared" si="12"/>
        <v>81032000</v>
      </c>
      <c r="K155" s="22"/>
      <c r="L155" s="23" t="str">
        <f>IFERROR(VLOOKUP(D155,마스터!$R$4:$S$40,2,0),"")</f>
        <v/>
      </c>
      <c r="M155" s="23" t="e">
        <f>VLOOKUP(L155,마스터!S:T,2,0)</f>
        <v>#N/A</v>
      </c>
      <c r="N155" s="23" t="str">
        <f>IFERROR(VLOOKUP(B155,마스터!$A$2:$B$8,2,0),"")</f>
        <v/>
      </c>
      <c r="O155" s="23" t="e">
        <f>VLOOKUP(N155,마스터!$B$1:$G$8,2,0)</f>
        <v>#N/A</v>
      </c>
      <c r="P155" s="23">
        <f t="shared" si="9"/>
        <v>0</v>
      </c>
      <c r="Q155" s="29">
        <f t="shared" si="10"/>
        <v>0</v>
      </c>
      <c r="R155" s="29">
        <f t="shared" si="11"/>
        <v>0</v>
      </c>
    </row>
    <row r="156" spans="10:18" ht="13.2" customHeight="1">
      <c r="J156" s="26">
        <f t="shared" si="12"/>
        <v>81032000</v>
      </c>
      <c r="K156" s="22"/>
      <c r="L156" s="23" t="str">
        <f>IFERROR(VLOOKUP(D156,마스터!$R$4:$S$40,2,0),"")</f>
        <v/>
      </c>
      <c r="M156" s="23" t="e">
        <f>VLOOKUP(L156,마스터!S:T,2,0)</f>
        <v>#N/A</v>
      </c>
      <c r="N156" s="23" t="str">
        <f>IFERROR(VLOOKUP(B156,마스터!$A$2:$B$8,2,0),"")</f>
        <v/>
      </c>
      <c r="O156" s="23" t="e">
        <f>VLOOKUP(N156,마스터!$B$1:$G$8,2,0)</f>
        <v>#N/A</v>
      </c>
      <c r="P156" s="23">
        <f t="shared" si="9"/>
        <v>0</v>
      </c>
      <c r="Q156" s="29">
        <f t="shared" si="10"/>
        <v>0</v>
      </c>
      <c r="R156" s="29">
        <f t="shared" si="11"/>
        <v>0</v>
      </c>
    </row>
    <row r="157" spans="10:18" ht="13.2" customHeight="1">
      <c r="J157" s="26">
        <f t="shared" si="12"/>
        <v>81032000</v>
      </c>
      <c r="K157" s="22"/>
      <c r="L157" s="23" t="str">
        <f>IFERROR(VLOOKUP(D157,마스터!$R$4:$S$40,2,0),"")</f>
        <v/>
      </c>
      <c r="M157" s="23" t="e">
        <f>VLOOKUP(L157,마스터!S:T,2,0)</f>
        <v>#N/A</v>
      </c>
      <c r="N157" s="23" t="str">
        <f>IFERROR(VLOOKUP(B157,마스터!$A$2:$B$8,2,0),"")</f>
        <v/>
      </c>
      <c r="O157" s="23" t="e">
        <f>VLOOKUP(N157,마스터!$B$1:$G$8,2,0)</f>
        <v>#N/A</v>
      </c>
      <c r="P157" s="23">
        <f t="shared" si="9"/>
        <v>0</v>
      </c>
      <c r="Q157" s="29">
        <f t="shared" si="10"/>
        <v>0</v>
      </c>
      <c r="R157" s="29">
        <f t="shared" si="11"/>
        <v>0</v>
      </c>
    </row>
    <row r="158" spans="10:18" ht="13.2" customHeight="1">
      <c r="J158" s="26">
        <f t="shared" si="12"/>
        <v>81032000</v>
      </c>
      <c r="K158" s="22"/>
      <c r="L158" s="23" t="str">
        <f>IFERROR(VLOOKUP(D158,마스터!$R$4:$S$40,2,0),"")</f>
        <v/>
      </c>
      <c r="M158" s="23" t="e">
        <f>VLOOKUP(L158,마스터!S:T,2,0)</f>
        <v>#N/A</v>
      </c>
      <c r="N158" s="23" t="str">
        <f>IFERROR(VLOOKUP(B158,마스터!$A$2:$B$8,2,0),"")</f>
        <v/>
      </c>
      <c r="O158" s="23" t="e">
        <f>VLOOKUP(N158,마스터!$B$1:$G$8,2,0)</f>
        <v>#N/A</v>
      </c>
      <c r="P158" s="23">
        <f t="shared" si="9"/>
        <v>0</v>
      </c>
      <c r="Q158" s="29">
        <f t="shared" si="10"/>
        <v>0</v>
      </c>
      <c r="R158" s="29">
        <f t="shared" si="11"/>
        <v>0</v>
      </c>
    </row>
    <row r="159" spans="10:18" ht="13.2" customHeight="1">
      <c r="J159" s="26">
        <f t="shared" si="12"/>
        <v>81032000</v>
      </c>
      <c r="K159" s="22"/>
      <c r="L159" s="23" t="str">
        <f>IFERROR(VLOOKUP(D159,마스터!$R$4:$S$40,2,0),"")</f>
        <v/>
      </c>
      <c r="M159" s="23" t="e">
        <f>VLOOKUP(L159,마스터!S:T,2,0)</f>
        <v>#N/A</v>
      </c>
      <c r="N159" s="23" t="str">
        <f>IFERROR(VLOOKUP(B159,마스터!$A$2:$B$8,2,0),"")</f>
        <v/>
      </c>
      <c r="O159" s="23" t="e">
        <f>VLOOKUP(N159,마스터!$B$1:$G$8,2,0)</f>
        <v>#N/A</v>
      </c>
      <c r="P159" s="23">
        <f t="shared" si="9"/>
        <v>0</v>
      </c>
      <c r="Q159" s="29">
        <f t="shared" si="10"/>
        <v>0</v>
      </c>
      <c r="R159" s="29">
        <f t="shared" si="11"/>
        <v>0</v>
      </c>
    </row>
    <row r="160" spans="10:18" ht="13.2" customHeight="1">
      <c r="J160" s="26">
        <f t="shared" si="12"/>
        <v>81032000</v>
      </c>
      <c r="K160" s="22"/>
      <c r="L160" s="23" t="str">
        <f>IFERROR(VLOOKUP(D160,마스터!$R$4:$S$40,2,0),"")</f>
        <v/>
      </c>
      <c r="M160" s="23" t="e">
        <f>VLOOKUP(L160,마스터!S:T,2,0)</f>
        <v>#N/A</v>
      </c>
      <c r="N160" s="23" t="str">
        <f>IFERROR(VLOOKUP(B160,마스터!$A$2:$B$8,2,0),"")</f>
        <v/>
      </c>
      <c r="O160" s="23" t="e">
        <f>VLOOKUP(N160,마스터!$B$1:$G$8,2,0)</f>
        <v>#N/A</v>
      </c>
      <c r="P160" s="23">
        <f t="shared" si="9"/>
        <v>0</v>
      </c>
      <c r="Q160" s="29">
        <f t="shared" si="10"/>
        <v>0</v>
      </c>
      <c r="R160" s="29">
        <f t="shared" si="11"/>
        <v>0</v>
      </c>
    </row>
    <row r="161" spans="10:18" ht="13.2" customHeight="1">
      <c r="J161" s="26">
        <f t="shared" si="12"/>
        <v>81032000</v>
      </c>
      <c r="K161" s="22"/>
      <c r="L161" s="23" t="str">
        <f>IFERROR(VLOOKUP(D161,마스터!$R$4:$S$40,2,0),"")</f>
        <v/>
      </c>
      <c r="M161" s="23" t="e">
        <f>VLOOKUP(L161,마스터!S:T,2,0)</f>
        <v>#N/A</v>
      </c>
      <c r="N161" s="23" t="str">
        <f>IFERROR(VLOOKUP(B161,마스터!$A$2:$B$8,2,0),"")</f>
        <v/>
      </c>
      <c r="O161" s="23" t="e">
        <f>VLOOKUP(N161,마스터!$B$1:$G$8,2,0)</f>
        <v>#N/A</v>
      </c>
      <c r="P161" s="23">
        <f t="shared" si="9"/>
        <v>0</v>
      </c>
      <c r="Q161" s="29">
        <f t="shared" si="10"/>
        <v>0</v>
      </c>
      <c r="R161" s="29">
        <f t="shared" si="11"/>
        <v>0</v>
      </c>
    </row>
    <row r="162" spans="10:18" ht="13.2" customHeight="1">
      <c r="J162" s="26">
        <f t="shared" si="12"/>
        <v>81032000</v>
      </c>
      <c r="K162" s="22"/>
      <c r="L162" s="23" t="str">
        <f>IFERROR(VLOOKUP(D162,마스터!$R$4:$S$40,2,0),"")</f>
        <v/>
      </c>
      <c r="M162" s="23" t="e">
        <f>VLOOKUP(L162,마스터!S:T,2,0)</f>
        <v>#N/A</v>
      </c>
      <c r="N162" s="23" t="str">
        <f>IFERROR(VLOOKUP(B162,마스터!$A$2:$B$8,2,0),"")</f>
        <v/>
      </c>
      <c r="O162" s="23" t="e">
        <f>VLOOKUP(N162,마스터!$B$1:$G$8,2,0)</f>
        <v>#N/A</v>
      </c>
      <c r="P162" s="23">
        <f t="shared" si="9"/>
        <v>0</v>
      </c>
      <c r="Q162" s="29">
        <f t="shared" si="10"/>
        <v>0</v>
      </c>
      <c r="R162" s="29">
        <f t="shared" si="11"/>
        <v>0</v>
      </c>
    </row>
    <row r="163" spans="10:18" ht="13.2" customHeight="1">
      <c r="J163" s="26">
        <f t="shared" si="12"/>
        <v>81032000</v>
      </c>
      <c r="K163" s="22"/>
      <c r="L163" s="23" t="str">
        <f>IFERROR(VLOOKUP(D163,마스터!$R$4:$S$40,2,0),"")</f>
        <v/>
      </c>
      <c r="M163" s="23" t="e">
        <f>VLOOKUP(L163,마스터!S:T,2,0)</f>
        <v>#N/A</v>
      </c>
      <c r="N163" s="23" t="str">
        <f>IFERROR(VLOOKUP(B163,마스터!$A$2:$B$8,2,0),"")</f>
        <v/>
      </c>
      <c r="O163" s="23" t="e">
        <f>VLOOKUP(N163,마스터!$B$1:$G$8,2,0)</f>
        <v>#N/A</v>
      </c>
      <c r="P163" s="23">
        <f t="shared" si="9"/>
        <v>0</v>
      </c>
      <c r="Q163" s="29">
        <f t="shared" si="10"/>
        <v>0</v>
      </c>
      <c r="R163" s="29">
        <f t="shared" si="11"/>
        <v>0</v>
      </c>
    </row>
    <row r="164" spans="10:18" ht="13.2" customHeight="1">
      <c r="J164" s="26">
        <f t="shared" si="12"/>
        <v>81032000</v>
      </c>
      <c r="K164" s="22"/>
      <c r="L164" s="23" t="str">
        <f>IFERROR(VLOOKUP(D164,마스터!$R$4:$S$40,2,0),"")</f>
        <v/>
      </c>
      <c r="M164" s="23" t="e">
        <f>VLOOKUP(L164,마스터!S:T,2,0)</f>
        <v>#N/A</v>
      </c>
      <c r="N164" s="23" t="str">
        <f>IFERROR(VLOOKUP(B164,마스터!$A$2:$B$8,2,0),"")</f>
        <v/>
      </c>
      <c r="O164" s="23" t="e">
        <f>VLOOKUP(N164,마스터!$B$1:$G$8,2,0)</f>
        <v>#N/A</v>
      </c>
      <c r="P164" s="23">
        <f t="shared" si="9"/>
        <v>0</v>
      </c>
      <c r="Q164" s="29">
        <f t="shared" si="10"/>
        <v>0</v>
      </c>
      <c r="R164" s="29">
        <f t="shared" si="11"/>
        <v>0</v>
      </c>
    </row>
    <row r="165" spans="10:18" ht="13.2" customHeight="1">
      <c r="J165" s="26">
        <f t="shared" si="12"/>
        <v>81032000</v>
      </c>
      <c r="K165" s="22"/>
      <c r="L165" s="23" t="str">
        <f>IFERROR(VLOOKUP(D165,마스터!$R$4:$S$40,2,0),"")</f>
        <v/>
      </c>
      <c r="M165" s="23" t="e">
        <f>VLOOKUP(L165,마스터!S:T,2,0)</f>
        <v>#N/A</v>
      </c>
      <c r="N165" s="23" t="str">
        <f>IFERROR(VLOOKUP(B165,마스터!$A$2:$B$8,2,0),"")</f>
        <v/>
      </c>
      <c r="O165" s="23" t="e">
        <f>VLOOKUP(N165,마스터!$B$1:$G$8,2,0)</f>
        <v>#N/A</v>
      </c>
      <c r="P165" s="23">
        <f t="shared" ref="P165:P171" si="13">IFERROR(F165*G165,"")</f>
        <v>0</v>
      </c>
      <c r="Q165" s="29">
        <f t="shared" ref="Q165:Q171" si="14">H165</f>
        <v>0</v>
      </c>
      <c r="R165" s="29">
        <f t="shared" ref="R165:R171" si="15">I165</f>
        <v>0</v>
      </c>
    </row>
    <row r="166" spans="10:18" ht="13.2" customHeight="1">
      <c r="J166" s="26">
        <f t="shared" si="12"/>
        <v>81032000</v>
      </c>
      <c r="K166" s="22"/>
      <c r="L166" s="23" t="str">
        <f>IFERROR(VLOOKUP(D166,마스터!$R$4:$S$40,2,0),"")</f>
        <v/>
      </c>
      <c r="M166" s="23" t="e">
        <f>VLOOKUP(L166,마스터!S:T,2,0)</f>
        <v>#N/A</v>
      </c>
      <c r="N166" s="23" t="str">
        <f>IFERROR(VLOOKUP(B166,마스터!$A$2:$B$8,2,0),"")</f>
        <v/>
      </c>
      <c r="O166" s="23" t="e">
        <f>VLOOKUP(N166,마스터!$B$1:$G$8,2,0)</f>
        <v>#N/A</v>
      </c>
      <c r="P166" s="23">
        <f t="shared" si="13"/>
        <v>0</v>
      </c>
      <c r="Q166" s="29">
        <f t="shared" si="14"/>
        <v>0</v>
      </c>
      <c r="R166" s="29">
        <f t="shared" si="15"/>
        <v>0</v>
      </c>
    </row>
    <row r="167" spans="10:18" ht="13.2" customHeight="1">
      <c r="J167" s="26">
        <f t="shared" si="12"/>
        <v>81032000</v>
      </c>
      <c r="K167" s="22"/>
      <c r="L167" s="23" t="str">
        <f>IFERROR(VLOOKUP(D167,마스터!$R$4:$S$40,2,0),"")</f>
        <v/>
      </c>
      <c r="M167" s="23" t="e">
        <f>VLOOKUP(L167,마스터!S:T,2,0)</f>
        <v>#N/A</v>
      </c>
      <c r="N167" s="23" t="str">
        <f>IFERROR(VLOOKUP(B167,마스터!$A$2:$B$8,2,0),"")</f>
        <v/>
      </c>
      <c r="O167" s="23" t="e">
        <f>VLOOKUP(N167,마스터!$B$1:$G$8,2,0)</f>
        <v>#N/A</v>
      </c>
      <c r="P167" s="23">
        <f t="shared" si="13"/>
        <v>0</v>
      </c>
      <c r="Q167" s="29">
        <f t="shared" si="14"/>
        <v>0</v>
      </c>
      <c r="R167" s="29">
        <f t="shared" si="15"/>
        <v>0</v>
      </c>
    </row>
    <row r="168" spans="10:18" ht="13.2" customHeight="1">
      <c r="J168" s="26">
        <f t="shared" si="12"/>
        <v>81032000</v>
      </c>
      <c r="K168" s="22"/>
      <c r="L168" s="23" t="str">
        <f>IFERROR(VLOOKUP(D168,마스터!$R$4:$S$40,2,0),"")</f>
        <v/>
      </c>
      <c r="M168" s="23" t="e">
        <f>VLOOKUP(L168,마스터!S:T,2,0)</f>
        <v>#N/A</v>
      </c>
      <c r="N168" s="23" t="str">
        <f>IFERROR(VLOOKUP(B168,마스터!$A$2:$B$8,2,0),"")</f>
        <v/>
      </c>
      <c r="O168" s="23" t="e">
        <f>VLOOKUP(N168,마스터!$B$1:$G$8,2,0)</f>
        <v>#N/A</v>
      </c>
      <c r="P168" s="23">
        <f t="shared" si="13"/>
        <v>0</v>
      </c>
      <c r="Q168" s="29">
        <f t="shared" si="14"/>
        <v>0</v>
      </c>
      <c r="R168" s="29">
        <f t="shared" si="15"/>
        <v>0</v>
      </c>
    </row>
    <row r="169" spans="10:18" ht="13.2" customHeight="1">
      <c r="J169" s="26">
        <f t="shared" si="12"/>
        <v>81032000</v>
      </c>
      <c r="K169" s="22"/>
      <c r="L169" s="23" t="str">
        <f>IFERROR(VLOOKUP(D169,마스터!$R$4:$S$40,2,0),"")</f>
        <v/>
      </c>
      <c r="M169" s="23" t="e">
        <f>VLOOKUP(L169,마스터!S:T,2,0)</f>
        <v>#N/A</v>
      </c>
      <c r="N169" s="23" t="str">
        <f>IFERROR(VLOOKUP(B169,마스터!$A$2:$B$8,2,0),"")</f>
        <v/>
      </c>
      <c r="O169" s="23" t="e">
        <f>VLOOKUP(N169,마스터!$B$1:$G$8,2,0)</f>
        <v>#N/A</v>
      </c>
      <c r="P169" s="23">
        <f t="shared" si="13"/>
        <v>0</v>
      </c>
      <c r="Q169" s="29">
        <f t="shared" si="14"/>
        <v>0</v>
      </c>
      <c r="R169" s="29">
        <f t="shared" si="15"/>
        <v>0</v>
      </c>
    </row>
    <row r="170" spans="10:18" ht="13.2" customHeight="1">
      <c r="J170" s="26">
        <f t="shared" si="12"/>
        <v>81032000</v>
      </c>
      <c r="K170" s="22"/>
      <c r="L170" s="23" t="str">
        <f>IFERROR(VLOOKUP(D170,마스터!$R$4:$S$40,2,0),"")</f>
        <v/>
      </c>
      <c r="M170" s="23" t="e">
        <f>VLOOKUP(L170,마스터!S:T,2,0)</f>
        <v>#N/A</v>
      </c>
      <c r="N170" s="23" t="str">
        <f>IFERROR(VLOOKUP(B170,마스터!$A$2:$B$8,2,0),"")</f>
        <v/>
      </c>
      <c r="O170" s="23" t="e">
        <f>VLOOKUP(N170,마스터!$B$1:$G$8,2,0)</f>
        <v>#N/A</v>
      </c>
      <c r="P170" s="23">
        <f t="shared" si="13"/>
        <v>0</v>
      </c>
      <c r="Q170" s="29">
        <f t="shared" si="14"/>
        <v>0</v>
      </c>
      <c r="R170" s="29">
        <f t="shared" si="15"/>
        <v>0</v>
      </c>
    </row>
    <row r="171" spans="10:18" ht="13.2" customHeight="1">
      <c r="J171" s="26">
        <f t="shared" si="12"/>
        <v>81032000</v>
      </c>
      <c r="K171" s="22"/>
      <c r="L171" s="23" t="str">
        <f>IFERROR(VLOOKUP(D171,마스터!$R$4:$S$40,2,0),"")</f>
        <v/>
      </c>
      <c r="M171" s="23" t="e">
        <f>VLOOKUP(L171,마스터!S:T,2,0)</f>
        <v>#N/A</v>
      </c>
      <c r="N171" s="23" t="str">
        <f>IFERROR(VLOOKUP(B171,마스터!$A$2:$B$8,2,0),"")</f>
        <v/>
      </c>
      <c r="O171" s="23" t="e">
        <f>VLOOKUP(N171,마스터!$B$1:$G$8,2,0)</f>
        <v>#N/A</v>
      </c>
      <c r="P171" s="23">
        <f t="shared" si="13"/>
        <v>0</v>
      </c>
      <c r="Q171" s="29">
        <f t="shared" si="14"/>
        <v>0</v>
      </c>
      <c r="R171" s="29">
        <f t="shared" si="15"/>
        <v>0</v>
      </c>
    </row>
    <row r="172" spans="10:18" ht="13.2" customHeight="1">
      <c r="J172" s="26">
        <f t="shared" ref="J172:J175" si="16">$L$2</f>
        <v>81032000</v>
      </c>
      <c r="L172" s="23" t="str">
        <f>IFERROR(VLOOKUP(D172,마스터!$R$4:$S$40,2,0),"")</f>
        <v/>
      </c>
      <c r="M172" s="23" t="e">
        <f>VLOOKUP(L172,마스터!S:T,2,0)</f>
        <v>#N/A</v>
      </c>
      <c r="N172" s="23" t="str">
        <f>IFERROR(VLOOKUP(B172,마스터!$A$2:$B$8,2,0),"")</f>
        <v/>
      </c>
      <c r="O172" s="23" t="e">
        <f>VLOOKUP(N172,마스터!$B$1:$G$8,2,0)</f>
        <v>#N/A</v>
      </c>
      <c r="P172" s="23">
        <f t="shared" ref="P172:P175" si="17">IFERROR(F172*G172,"")</f>
        <v>0</v>
      </c>
      <c r="Q172" s="29">
        <f t="shared" ref="Q172:Q175" si="18">H172</f>
        <v>0</v>
      </c>
      <c r="R172" s="29">
        <f t="shared" ref="R172:R175" si="19">I172</f>
        <v>0</v>
      </c>
    </row>
    <row r="173" spans="10:18" ht="13.2" customHeight="1">
      <c r="J173" s="26">
        <f t="shared" si="16"/>
        <v>81032000</v>
      </c>
      <c r="L173" s="23" t="str">
        <f>IFERROR(VLOOKUP(D173,마스터!$R$4:$S$40,2,0),"")</f>
        <v/>
      </c>
      <c r="M173" s="23" t="e">
        <f>VLOOKUP(L173,마스터!S:T,2,0)</f>
        <v>#N/A</v>
      </c>
      <c r="N173" s="23" t="str">
        <f>IFERROR(VLOOKUP(B173,마스터!$A$2:$B$8,2,0),"")</f>
        <v/>
      </c>
      <c r="O173" s="23" t="e">
        <f>VLOOKUP(N173,마스터!$B$1:$G$8,2,0)</f>
        <v>#N/A</v>
      </c>
      <c r="P173" s="23">
        <f t="shared" si="17"/>
        <v>0</v>
      </c>
      <c r="Q173" s="29">
        <f t="shared" si="18"/>
        <v>0</v>
      </c>
      <c r="R173" s="29">
        <f t="shared" si="19"/>
        <v>0</v>
      </c>
    </row>
    <row r="174" spans="10:18" ht="13.2" customHeight="1">
      <c r="J174" s="26">
        <f>$L$2</f>
        <v>81032000</v>
      </c>
      <c r="L174" s="23" t="str">
        <f>IFERROR(VLOOKUP(D174,마스터!$R$4:$S$40,2,0),"")</f>
        <v/>
      </c>
      <c r="M174" s="23" t="e">
        <f>VLOOKUP(L174,마스터!S:T,2,0)</f>
        <v>#N/A</v>
      </c>
      <c r="N174" s="23" t="str">
        <f>IFERROR(VLOOKUP(B174,마스터!$A$2:$B$8,2,0),"")</f>
        <v/>
      </c>
      <c r="O174" s="23" t="e">
        <f>VLOOKUP(N174,마스터!$B$1:$G$8,2,0)</f>
        <v>#N/A</v>
      </c>
      <c r="P174" s="23">
        <f>IFERROR(F174*G174,"")</f>
        <v>0</v>
      </c>
      <c r="Q174" s="29">
        <f t="shared" si="18"/>
        <v>0</v>
      </c>
      <c r="R174" s="29">
        <f t="shared" si="19"/>
        <v>0</v>
      </c>
    </row>
    <row r="175" spans="10:18" ht="13.2" customHeight="1">
      <c r="J175" s="26">
        <f t="shared" si="16"/>
        <v>81032000</v>
      </c>
      <c r="L175" s="23" t="str">
        <f>IFERROR(VLOOKUP(D175,마스터!$R$4:$S$40,2,0),"")</f>
        <v/>
      </c>
      <c r="M175" s="23" t="e">
        <f>VLOOKUP(L175,마스터!S:T,2,0)</f>
        <v>#N/A</v>
      </c>
      <c r="N175" s="23" t="str">
        <f>IFERROR(VLOOKUP(B175,마스터!$A$2:$B$8,2,0),"")</f>
        <v/>
      </c>
      <c r="O175" s="23" t="e">
        <f>VLOOKUP(N175,마스터!$B$1:$G$8,2,0)</f>
        <v>#N/A</v>
      </c>
      <c r="P175" s="23">
        <f t="shared" si="17"/>
        <v>0</v>
      </c>
      <c r="Q175" s="29">
        <f t="shared" si="18"/>
        <v>0</v>
      </c>
      <c r="R175" s="29">
        <f t="shared" si="19"/>
        <v>0</v>
      </c>
    </row>
    <row r="176" spans="10:18">
      <c r="L176" s="23" t="str">
        <f>IFERROR(VLOOKUP(D176,마스터!$R$4:$S$80,2,0),"")</f>
        <v/>
      </c>
      <c r="M176" s="23" t="e">
        <f>VLOOKUP(L176,마스터!S:T,2,0)</f>
        <v>#N/A</v>
      </c>
      <c r="N176" s="23" t="str">
        <f>IFERROR(VLOOKUP(B176,마스터!$A$2:$B$8,2,0),"")</f>
        <v/>
      </c>
      <c r="O176" s="23" t="e">
        <f>VLOOKUP(N176,마스터!$B$1:$G$8,2,0)</f>
        <v>#N/A</v>
      </c>
    </row>
    <row r="177" spans="12:15">
      <c r="L177" s="23" t="str">
        <f>IFERROR(VLOOKUP(D177,마스터!$R$4:$S$80,2,0),"")</f>
        <v/>
      </c>
      <c r="M177" s="23" t="e">
        <f>VLOOKUP(L177,마스터!S:T,2,0)</f>
        <v>#N/A</v>
      </c>
      <c r="N177" s="23" t="str">
        <f>IFERROR(VLOOKUP(B177,마스터!$A$2:$B$8,2,0),"")</f>
        <v/>
      </c>
      <c r="O177" s="23" t="e">
        <f>VLOOKUP(N177,마스터!$B$1:$G$8,2,0)</f>
        <v>#N/A</v>
      </c>
    </row>
    <row r="178" spans="12:15">
      <c r="L178" s="23" t="str">
        <f>IFERROR(VLOOKUP(D178,마스터!$R$4:$S$80,2,0),"")</f>
        <v/>
      </c>
      <c r="M178" s="23" t="e">
        <f>VLOOKUP(L178,마스터!S:T,2,0)</f>
        <v>#N/A</v>
      </c>
      <c r="N178" s="23" t="str">
        <f>IFERROR(VLOOKUP(B178,마스터!$A$2:$B$8,2,0),"")</f>
        <v/>
      </c>
      <c r="O178" s="23" t="e">
        <f>VLOOKUP(N178,마스터!$B$1:$G$8,2,0)</f>
        <v>#N/A</v>
      </c>
    </row>
    <row r="179" spans="12:15">
      <c r="L179" s="23" t="str">
        <f>IFERROR(VLOOKUP(D179,마스터!$R$4:$S$80,2,0),"")</f>
        <v/>
      </c>
      <c r="M179" s="23" t="e">
        <f>VLOOKUP(L179,마스터!S:T,2,0)</f>
        <v>#N/A</v>
      </c>
      <c r="N179" s="23" t="str">
        <f>IFERROR(VLOOKUP(B179,마스터!$A$2:$B$8,2,0),"")</f>
        <v/>
      </c>
      <c r="O179" s="23" t="e">
        <f>VLOOKUP(N179,마스터!$B$1:$G$8,2,0)</f>
        <v>#N/A</v>
      </c>
    </row>
    <row r="180" spans="12:15">
      <c r="L180" s="23" t="str">
        <f>IFERROR(VLOOKUP(D180,마스터!$R$4:$S$80,2,0),"")</f>
        <v/>
      </c>
      <c r="M180" s="23" t="e">
        <f>VLOOKUP(L180,마스터!S:T,2,0)</f>
        <v>#N/A</v>
      </c>
      <c r="N180" s="23" t="str">
        <f>IFERROR(VLOOKUP(B180,마스터!$A$2:$B$8,2,0),"")</f>
        <v/>
      </c>
      <c r="O180" s="23" t="e">
        <f>VLOOKUP(N180,마스터!$B$1:$G$8,2,0)</f>
        <v>#N/A</v>
      </c>
    </row>
    <row r="181" spans="12:15">
      <c r="L181" s="23" t="str">
        <f>IFERROR(VLOOKUP(D181,마스터!$R$4:$S$80,2,0),"")</f>
        <v/>
      </c>
      <c r="M181" s="23" t="e">
        <f>VLOOKUP(L181,마스터!S:T,2,0)</f>
        <v>#N/A</v>
      </c>
      <c r="N181" s="23" t="str">
        <f>IFERROR(VLOOKUP(B181,마스터!$A$2:$B$8,2,0),"")</f>
        <v/>
      </c>
      <c r="O181" s="23" t="e">
        <f>VLOOKUP(N181,마스터!$B$1:$G$8,2,0)</f>
        <v>#N/A</v>
      </c>
    </row>
    <row r="182" spans="12:15">
      <c r="L182" s="23" t="str">
        <f>IFERROR(VLOOKUP(D182,마스터!$R$4:$S$80,2,0),"")</f>
        <v/>
      </c>
      <c r="M182" s="23" t="e">
        <f>VLOOKUP(L182,마스터!S:T,2,0)</f>
        <v>#N/A</v>
      </c>
      <c r="N182" s="23" t="str">
        <f>IFERROR(VLOOKUP(B182,마스터!$A$2:$B$8,2,0),"")</f>
        <v/>
      </c>
      <c r="O182" s="23" t="e">
        <f>VLOOKUP(N182,마스터!$B$1:$G$8,2,0)</f>
        <v>#N/A</v>
      </c>
    </row>
    <row r="183" spans="12:15">
      <c r="M183" s="23" t="e">
        <f>VLOOKUP(L183,마스터!S:T,2,0)</f>
        <v>#N/A</v>
      </c>
      <c r="N183" s="23" t="str">
        <f>IFERROR(VLOOKUP(B183,마스터!$A$2:$B$8,2,0),"")</f>
        <v/>
      </c>
      <c r="O183" s="23" t="e">
        <f>VLOOKUP(N183,마스터!$B$1:$G$8,2,0)</f>
        <v>#N/A</v>
      </c>
    </row>
    <row r="184" spans="12:15">
      <c r="M184" s="23" t="e">
        <f>VLOOKUP(L184,마스터!S:T,2,0)</f>
        <v>#N/A</v>
      </c>
      <c r="N184" s="23" t="str">
        <f>IFERROR(VLOOKUP(B184,마스터!$A$2:$B$8,2,0),"")</f>
        <v/>
      </c>
      <c r="O184" s="23" t="e">
        <f>VLOOKUP(N184,마스터!$B$1:$G$8,2,0)</f>
        <v>#N/A</v>
      </c>
    </row>
    <row r="185" spans="12:15">
      <c r="M185" s="23" t="e">
        <f>VLOOKUP(L185,마스터!S:T,2,0)</f>
        <v>#N/A</v>
      </c>
      <c r="N185" s="23" t="str">
        <f>IFERROR(VLOOKUP(B185,마스터!$A$2:$B$8,2,0),"")</f>
        <v/>
      </c>
      <c r="O185" s="23" t="e">
        <f>VLOOKUP(N185,마스터!$B$1:$G$8,2,0)</f>
        <v>#N/A</v>
      </c>
    </row>
    <row r="186" spans="12:15">
      <c r="M186" s="23" t="e">
        <f>VLOOKUP(L186,마스터!S:T,2,0)</f>
        <v>#N/A</v>
      </c>
      <c r="N186" s="23" t="str">
        <f>IFERROR(VLOOKUP(B186,마스터!$A$2:$B$8,2,0),"")</f>
        <v/>
      </c>
      <c r="O186" s="23" t="e">
        <f>VLOOKUP(N186,마스터!$B$1:$G$8,2,0)</f>
        <v>#N/A</v>
      </c>
    </row>
    <row r="187" spans="12:15">
      <c r="M187" s="23" t="e">
        <f>VLOOKUP(L187,마스터!S:T,2,0)</f>
        <v>#N/A</v>
      </c>
      <c r="N187" s="23" t="str">
        <f>IFERROR(VLOOKUP(B187,마스터!$A$2:$B$8,2,0),"")</f>
        <v/>
      </c>
      <c r="O187" s="23" t="e">
        <f>VLOOKUP(N187,마스터!$B$1:$G$8,2,0)</f>
        <v>#N/A</v>
      </c>
    </row>
    <row r="188" spans="12:15">
      <c r="M188" s="23" t="e">
        <f>VLOOKUP(L188,마스터!S:T,2,0)</f>
        <v>#N/A</v>
      </c>
      <c r="O188" s="23" t="e">
        <f>VLOOKUP(N188,마스터!$B$1:$G$8,2,0)</f>
        <v>#N/A</v>
      </c>
    </row>
    <row r="189" spans="12:15">
      <c r="M189" s="23" t="e">
        <f>VLOOKUP(L189,마스터!S:T,2,0)</f>
        <v>#N/A</v>
      </c>
      <c r="O189" s="23" t="e">
        <f>VLOOKUP(N189,마스터!$B$1:$G$8,2,0)</f>
        <v>#N/A</v>
      </c>
    </row>
  </sheetData>
  <mergeCells count="5">
    <mergeCell ref="A1:I1"/>
    <mergeCell ref="B2:D2"/>
    <mergeCell ref="F2:I2"/>
    <mergeCell ref="A3:I3"/>
    <mergeCell ref="A9:F9"/>
  </mergeCells>
  <phoneticPr fontId="2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7"/>
  <dimension ref="A1:W55"/>
  <sheetViews>
    <sheetView workbookViewId="0">
      <selection activeCell="C9" sqref="C9"/>
    </sheetView>
  </sheetViews>
  <sheetFormatPr defaultRowHeight="13.2"/>
  <cols>
    <col min="1" max="1" width="19.44140625" style="17" customWidth="1"/>
    <col min="2" max="2" width="15.109375" customWidth="1"/>
    <col min="18" max="18" width="30.21875" bestFit="1" customWidth="1"/>
    <col min="19" max="19" width="9.44140625" bestFit="1" customWidth="1"/>
  </cols>
  <sheetData>
    <row r="1" spans="1:23">
      <c r="A1" s="15" t="s">
        <v>26</v>
      </c>
      <c r="B1" s="2" t="s">
        <v>27</v>
      </c>
      <c r="C1" s="3" t="s">
        <v>28</v>
      </c>
      <c r="D1" s="3" t="s">
        <v>29</v>
      </c>
      <c r="E1" s="3" t="s">
        <v>30</v>
      </c>
      <c r="F1" s="3" t="s">
        <v>18</v>
      </c>
      <c r="G1" s="3" t="s">
        <v>31</v>
      </c>
      <c r="H1" s="3" t="s">
        <v>32</v>
      </c>
      <c r="I1" s="3" t="s">
        <v>33</v>
      </c>
      <c r="J1" s="3" t="s">
        <v>34</v>
      </c>
      <c r="K1" s="3" t="s">
        <v>35</v>
      </c>
      <c r="L1" s="3" t="s">
        <v>36</v>
      </c>
      <c r="M1" s="3" t="s">
        <v>37</v>
      </c>
      <c r="N1" s="3" t="s">
        <v>38</v>
      </c>
      <c r="O1" s="3" t="s">
        <v>39</v>
      </c>
      <c r="P1" s="3" t="s">
        <v>40</v>
      </c>
      <c r="R1" t="s">
        <v>17</v>
      </c>
      <c r="S1" t="s">
        <v>82</v>
      </c>
    </row>
    <row r="2" spans="1:23" ht="15.6">
      <c r="A2" s="16">
        <v>8809020345229</v>
      </c>
      <c r="B2" s="4" t="s">
        <v>41</v>
      </c>
      <c r="C2" s="5" t="s">
        <v>42</v>
      </c>
      <c r="D2" s="5" t="s">
        <v>42</v>
      </c>
      <c r="E2" s="6" t="s">
        <v>43</v>
      </c>
      <c r="F2" s="7" t="s">
        <v>44</v>
      </c>
      <c r="G2" s="7">
        <v>53</v>
      </c>
      <c r="H2" s="7">
        <v>160</v>
      </c>
      <c r="I2" s="7">
        <v>53</v>
      </c>
      <c r="J2" s="7" t="s">
        <v>45</v>
      </c>
      <c r="K2" s="6" t="s">
        <v>46</v>
      </c>
      <c r="L2" s="8">
        <v>2328</v>
      </c>
      <c r="M2" s="9">
        <v>4300</v>
      </c>
      <c r="N2" s="6" t="s">
        <v>47</v>
      </c>
      <c r="O2" s="7">
        <v>1</v>
      </c>
      <c r="P2" s="6" t="s">
        <v>48</v>
      </c>
      <c r="R2" t="s">
        <v>13</v>
      </c>
      <c r="S2">
        <v>81032000</v>
      </c>
      <c r="T2" t="s">
        <v>83</v>
      </c>
    </row>
    <row r="3" spans="1:23" ht="15.6">
      <c r="A3" s="10">
        <v>8809020345212</v>
      </c>
      <c r="B3" s="4" t="s">
        <v>92</v>
      </c>
      <c r="C3" s="5" t="s">
        <v>49</v>
      </c>
      <c r="D3" s="5" t="s">
        <v>49</v>
      </c>
      <c r="E3" s="6" t="s">
        <v>43</v>
      </c>
      <c r="F3" s="7" t="s">
        <v>44</v>
      </c>
      <c r="G3" s="7">
        <v>53</v>
      </c>
      <c r="H3" s="7">
        <v>160</v>
      </c>
      <c r="I3" s="7">
        <v>53</v>
      </c>
      <c r="J3" s="7" t="s">
        <v>45</v>
      </c>
      <c r="K3" s="6" t="s">
        <v>46</v>
      </c>
      <c r="L3" s="8">
        <v>2321</v>
      </c>
      <c r="M3" s="9">
        <v>3800</v>
      </c>
      <c r="N3" s="6" t="s">
        <v>47</v>
      </c>
      <c r="O3" s="7">
        <v>1</v>
      </c>
      <c r="P3" s="6" t="s">
        <v>48</v>
      </c>
    </row>
    <row r="4" spans="1:23" ht="15.6">
      <c r="A4" s="10">
        <v>8809020348978</v>
      </c>
      <c r="B4" s="11" t="s">
        <v>129</v>
      </c>
      <c r="C4" s="12" t="s">
        <v>50</v>
      </c>
      <c r="D4" s="12" t="s">
        <v>51</v>
      </c>
      <c r="E4" s="12"/>
      <c r="F4" s="12"/>
      <c r="G4" s="12"/>
      <c r="H4" s="12"/>
      <c r="I4" s="12"/>
      <c r="J4" s="12"/>
      <c r="K4" s="12"/>
      <c r="L4" s="8">
        <v>2780</v>
      </c>
      <c r="M4" s="12"/>
      <c r="N4" s="6" t="s">
        <v>47</v>
      </c>
      <c r="O4" s="7">
        <v>1</v>
      </c>
      <c r="P4" s="6" t="s">
        <v>48</v>
      </c>
      <c r="R4" s="41" t="s">
        <v>59</v>
      </c>
      <c r="S4" s="41">
        <v>81032901</v>
      </c>
      <c r="T4" s="41"/>
      <c r="U4" t="s">
        <v>23</v>
      </c>
    </row>
    <row r="5" spans="1:23" ht="15.6">
      <c r="A5" s="10">
        <v>8809020341207</v>
      </c>
      <c r="B5" s="13" t="s">
        <v>52</v>
      </c>
      <c r="C5" s="13" t="s">
        <v>53</v>
      </c>
      <c r="D5" s="13" t="s">
        <v>54</v>
      </c>
      <c r="E5" s="13"/>
      <c r="F5" s="13"/>
      <c r="G5" s="13"/>
      <c r="H5" s="13"/>
      <c r="I5" s="13"/>
      <c r="J5" s="13"/>
      <c r="K5" s="13"/>
      <c r="L5" s="14">
        <v>4455</v>
      </c>
      <c r="M5" s="13"/>
      <c r="N5" s="13" t="s">
        <v>55</v>
      </c>
      <c r="O5" s="13"/>
      <c r="P5" s="13"/>
      <c r="R5" s="41" t="s">
        <v>60</v>
      </c>
      <c r="S5" s="41">
        <v>81032902</v>
      </c>
      <c r="T5" t="s">
        <v>60</v>
      </c>
      <c r="U5" t="s">
        <v>60</v>
      </c>
    </row>
    <row r="6" spans="1:23" ht="27">
      <c r="A6" s="40">
        <v>8809020344048</v>
      </c>
      <c r="B6" t="s">
        <v>110</v>
      </c>
      <c r="C6" s="38" t="s">
        <v>111</v>
      </c>
      <c r="D6" t="s">
        <v>112</v>
      </c>
      <c r="R6" s="41" t="s">
        <v>61</v>
      </c>
      <c r="S6" s="41">
        <v>81032903</v>
      </c>
      <c r="T6" s="41" t="s">
        <v>61</v>
      </c>
      <c r="U6" s="41" t="s">
        <v>60</v>
      </c>
      <c r="V6" s="41"/>
      <c r="W6" s="41"/>
    </row>
    <row r="7" spans="1:23">
      <c r="A7" s="40">
        <v>8809020344574</v>
      </c>
      <c r="B7" t="s">
        <v>130</v>
      </c>
      <c r="C7" t="s">
        <v>131</v>
      </c>
      <c r="R7" s="41" t="s">
        <v>62</v>
      </c>
      <c r="S7" s="41">
        <v>81032904</v>
      </c>
      <c r="T7" s="41" t="s">
        <v>62</v>
      </c>
      <c r="U7" s="41" t="s">
        <v>63</v>
      </c>
      <c r="V7" s="41"/>
    </row>
    <row r="8" spans="1:23">
      <c r="A8" s="17">
        <v>8809020343744</v>
      </c>
      <c r="B8" t="s">
        <v>132</v>
      </c>
      <c r="C8" t="s">
        <v>133</v>
      </c>
      <c r="R8" s="41" t="s">
        <v>23</v>
      </c>
      <c r="S8" s="41">
        <v>81032905</v>
      </c>
      <c r="T8" s="41" t="s">
        <v>23</v>
      </c>
      <c r="U8" s="41" t="s">
        <v>64</v>
      </c>
      <c r="V8" s="41"/>
    </row>
    <row r="9" spans="1:23">
      <c r="R9" s="41" t="s">
        <v>63</v>
      </c>
      <c r="S9" s="41">
        <v>81032906</v>
      </c>
      <c r="T9" s="41" t="s">
        <v>63</v>
      </c>
      <c r="U9" s="41" t="s">
        <v>65</v>
      </c>
      <c r="V9" s="41"/>
    </row>
    <row r="10" spans="1:23">
      <c r="R10" t="s">
        <v>64</v>
      </c>
      <c r="S10">
        <v>81032907</v>
      </c>
      <c r="T10" t="s">
        <v>64</v>
      </c>
      <c r="U10" t="s">
        <v>66</v>
      </c>
    </row>
    <row r="11" spans="1:23">
      <c r="R11" t="s">
        <v>67</v>
      </c>
      <c r="S11">
        <v>81032908</v>
      </c>
      <c r="T11" t="s">
        <v>67</v>
      </c>
      <c r="U11" t="s">
        <v>67</v>
      </c>
    </row>
    <row r="12" spans="1:23">
      <c r="R12" t="s">
        <v>68</v>
      </c>
      <c r="S12">
        <v>81032918</v>
      </c>
      <c r="T12" t="s">
        <v>68</v>
      </c>
      <c r="U12" t="s">
        <v>67</v>
      </c>
    </row>
    <row r="13" spans="1:23">
      <c r="R13" t="s">
        <v>69</v>
      </c>
      <c r="S13">
        <v>81032910</v>
      </c>
      <c r="T13" t="s">
        <v>69</v>
      </c>
      <c r="U13" t="s">
        <v>67</v>
      </c>
    </row>
    <row r="14" spans="1:23">
      <c r="R14" t="s">
        <v>65</v>
      </c>
      <c r="S14">
        <v>81032911</v>
      </c>
      <c r="T14" t="s">
        <v>65</v>
      </c>
      <c r="U14" t="s">
        <v>61</v>
      </c>
    </row>
    <row r="15" spans="1:23">
      <c r="R15" t="s">
        <v>66</v>
      </c>
      <c r="S15">
        <v>81032912</v>
      </c>
      <c r="T15" t="s">
        <v>66</v>
      </c>
      <c r="U15" t="s">
        <v>70</v>
      </c>
    </row>
    <row r="16" spans="1:23">
      <c r="R16" t="s">
        <v>84</v>
      </c>
      <c r="S16">
        <v>81032913</v>
      </c>
      <c r="T16" t="s">
        <v>84</v>
      </c>
      <c r="U16" t="s">
        <v>70</v>
      </c>
    </row>
    <row r="17" spans="2:21">
      <c r="R17" t="s">
        <v>71</v>
      </c>
      <c r="S17">
        <v>81032914</v>
      </c>
      <c r="T17" t="s">
        <v>71</v>
      </c>
      <c r="U17" t="s">
        <v>72</v>
      </c>
    </row>
    <row r="18" spans="2:21">
      <c r="R18" t="s">
        <v>85</v>
      </c>
      <c r="S18">
        <v>82022901</v>
      </c>
      <c r="T18" t="s">
        <v>85</v>
      </c>
      <c r="U18" t="s">
        <v>72</v>
      </c>
    </row>
    <row r="19" spans="2:21">
      <c r="R19" t="s">
        <v>86</v>
      </c>
      <c r="S19">
        <v>82022902</v>
      </c>
      <c r="T19" t="s">
        <v>86</v>
      </c>
      <c r="U19" t="s">
        <v>71</v>
      </c>
    </row>
    <row r="20" spans="2:21">
      <c r="R20" t="s">
        <v>73</v>
      </c>
      <c r="S20">
        <v>82022903</v>
      </c>
      <c r="T20" t="s">
        <v>73</v>
      </c>
    </row>
    <row r="21" spans="2:21">
      <c r="R21" t="s">
        <v>87</v>
      </c>
      <c r="S21">
        <v>82022904</v>
      </c>
      <c r="T21" t="s">
        <v>87</v>
      </c>
    </row>
    <row r="22" spans="2:21">
      <c r="R22" t="s">
        <v>88</v>
      </c>
      <c r="S22">
        <v>82022905</v>
      </c>
      <c r="T22" t="s">
        <v>88</v>
      </c>
    </row>
    <row r="23" spans="2:21">
      <c r="B23" s="17"/>
      <c r="R23" t="s">
        <v>89</v>
      </c>
      <c r="S23">
        <v>82022906</v>
      </c>
      <c r="T23" t="s">
        <v>89</v>
      </c>
    </row>
    <row r="24" spans="2:21">
      <c r="R24" t="s">
        <v>90</v>
      </c>
      <c r="S24">
        <v>82022907</v>
      </c>
      <c r="T24" t="s">
        <v>90</v>
      </c>
    </row>
    <row r="25" spans="2:21">
      <c r="R25" t="s">
        <v>25</v>
      </c>
      <c r="S25">
        <v>81032915</v>
      </c>
      <c r="T25" t="s">
        <v>25</v>
      </c>
    </row>
    <row r="26" spans="2:21">
      <c r="R26" t="s">
        <v>74</v>
      </c>
      <c r="S26">
        <v>81032916</v>
      </c>
      <c r="T26" t="s">
        <v>74</v>
      </c>
    </row>
    <row r="27" spans="2:21">
      <c r="R27" t="s">
        <v>75</v>
      </c>
      <c r="S27">
        <v>81032917</v>
      </c>
      <c r="T27" t="s">
        <v>75</v>
      </c>
    </row>
    <row r="28" spans="2:21">
      <c r="R28" t="s">
        <v>76</v>
      </c>
      <c r="S28">
        <v>81032917</v>
      </c>
      <c r="T28" t="s">
        <v>76</v>
      </c>
    </row>
    <row r="29" spans="2:21">
      <c r="R29" t="s">
        <v>77</v>
      </c>
      <c r="S29">
        <v>81032916</v>
      </c>
      <c r="T29" t="s">
        <v>77</v>
      </c>
    </row>
    <row r="30" spans="2:21">
      <c r="R30" t="s">
        <v>78</v>
      </c>
      <c r="S30">
        <v>81032919</v>
      </c>
      <c r="T30" t="s">
        <v>78</v>
      </c>
    </row>
    <row r="31" spans="2:21">
      <c r="R31" t="s">
        <v>79</v>
      </c>
      <c r="S31">
        <v>81032920</v>
      </c>
      <c r="T31" t="s">
        <v>79</v>
      </c>
    </row>
    <row r="32" spans="2:21">
      <c r="R32" t="s">
        <v>80</v>
      </c>
      <c r="S32">
        <v>81032904</v>
      </c>
      <c r="T32" t="s">
        <v>80</v>
      </c>
    </row>
    <row r="33" spans="18:21">
      <c r="R33" t="s">
        <v>81</v>
      </c>
      <c r="S33">
        <v>81032920</v>
      </c>
      <c r="T33" t="s">
        <v>81</v>
      </c>
    </row>
    <row r="34" spans="18:21" ht="52.8">
      <c r="R34" s="1" t="s">
        <v>91</v>
      </c>
      <c r="S34">
        <v>81032920</v>
      </c>
      <c r="T34" s="1" t="s">
        <v>91</v>
      </c>
    </row>
    <row r="35" spans="18:21" ht="52.8">
      <c r="R35" s="1" t="s">
        <v>104</v>
      </c>
      <c r="S35">
        <v>81032921</v>
      </c>
      <c r="T35" s="1" t="s">
        <v>103</v>
      </c>
    </row>
    <row r="36" spans="18:21">
      <c r="R36" t="s">
        <v>105</v>
      </c>
      <c r="S36">
        <v>81032922</v>
      </c>
      <c r="T36" t="s">
        <v>105</v>
      </c>
    </row>
    <row r="37" spans="18:21">
      <c r="R37" t="s">
        <v>109</v>
      </c>
      <c r="S37">
        <v>81032923</v>
      </c>
      <c r="T37" t="s">
        <v>106</v>
      </c>
    </row>
    <row r="38" spans="18:21">
      <c r="R38" t="s">
        <v>107</v>
      </c>
      <c r="S38">
        <v>81032925</v>
      </c>
      <c r="T38" t="s">
        <v>107</v>
      </c>
    </row>
    <row r="39" spans="18:21">
      <c r="R39" s="39" t="s">
        <v>108</v>
      </c>
      <c r="S39">
        <v>81010970</v>
      </c>
      <c r="T39" t="s">
        <v>108</v>
      </c>
    </row>
    <row r="40" spans="18:21">
      <c r="R40" s="38" t="s">
        <v>113</v>
      </c>
      <c r="S40">
        <v>81032902</v>
      </c>
      <c r="T40" t="s">
        <v>113</v>
      </c>
    </row>
    <row r="41" spans="18:21" ht="15.6">
      <c r="R41" t="s">
        <v>118</v>
      </c>
      <c r="S41">
        <v>81010973</v>
      </c>
      <c r="T41" t="s">
        <v>118</v>
      </c>
    </row>
    <row r="42" spans="18:21">
      <c r="R42" t="s">
        <v>121</v>
      </c>
      <c r="S42">
        <v>81010975</v>
      </c>
      <c r="T42" t="s">
        <v>121</v>
      </c>
    </row>
    <row r="43" spans="18:21">
      <c r="R43" t="s">
        <v>119</v>
      </c>
      <c r="S43">
        <v>81010976</v>
      </c>
      <c r="T43" t="s">
        <v>119</v>
      </c>
    </row>
    <row r="44" spans="18:21">
      <c r="R44" t="s">
        <v>115</v>
      </c>
      <c r="S44">
        <v>81010974</v>
      </c>
      <c r="T44" t="s">
        <v>115</v>
      </c>
    </row>
    <row r="45" spans="18:21">
      <c r="R45" t="s">
        <v>116</v>
      </c>
      <c r="S45">
        <v>81010977</v>
      </c>
      <c r="T45" t="s">
        <v>116</v>
      </c>
    </row>
    <row r="46" spans="18:21">
      <c r="R46" t="s">
        <v>117</v>
      </c>
      <c r="S46">
        <v>81010978</v>
      </c>
      <c r="T46" t="s">
        <v>117</v>
      </c>
    </row>
    <row r="47" spans="18:21">
      <c r="R47" t="s">
        <v>120</v>
      </c>
    </row>
    <row r="48" spans="18:21">
      <c r="R48" t="s">
        <v>122</v>
      </c>
      <c r="S48">
        <v>81032908</v>
      </c>
      <c r="T48" t="s">
        <v>67</v>
      </c>
      <c r="U48" t="s">
        <v>67</v>
      </c>
    </row>
    <row r="50" spans="18:20" ht="15.6">
      <c r="R50" s="38" t="s">
        <v>123</v>
      </c>
      <c r="S50">
        <v>81010973</v>
      </c>
      <c r="T50" t="s">
        <v>118</v>
      </c>
    </row>
    <row r="51" spans="18:20">
      <c r="R51" s="38" t="s">
        <v>124</v>
      </c>
      <c r="S51">
        <v>81010975</v>
      </c>
      <c r="T51" t="s">
        <v>121</v>
      </c>
    </row>
    <row r="52" spans="18:20">
      <c r="R52" s="38" t="s">
        <v>125</v>
      </c>
      <c r="S52">
        <v>81010976</v>
      </c>
      <c r="T52" t="s">
        <v>119</v>
      </c>
    </row>
    <row r="53" spans="18:20">
      <c r="R53" s="38" t="s">
        <v>126</v>
      </c>
      <c r="S53">
        <v>81010974</v>
      </c>
      <c r="T53" t="s">
        <v>115</v>
      </c>
    </row>
    <row r="54" spans="18:20">
      <c r="R54" s="38" t="s">
        <v>127</v>
      </c>
      <c r="S54">
        <v>81010977</v>
      </c>
      <c r="T54" t="s">
        <v>116</v>
      </c>
    </row>
    <row r="55" spans="18:20">
      <c r="R55" s="38" t="s">
        <v>128</v>
      </c>
      <c r="S55">
        <v>81010978</v>
      </c>
      <c r="T55" t="s">
        <v>117</v>
      </c>
    </row>
  </sheetData>
  <phoneticPr fontId="23" type="noConversion"/>
  <conditionalFormatting sqref="S1:S1048576">
    <cfRule type="duplicateValues" dxfId="0" priority="1"/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210311 (3)</vt:lpstr>
      <vt:lpstr>마스터</vt:lpstr>
      <vt:lpstr>'210311 (3)'!지우기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park hwami</dc:creator>
  <cp:lastModifiedBy>park jh</cp:lastModifiedBy>
  <dcterms:created xsi:type="dcterms:W3CDTF">2020-12-02T04:57:14Z</dcterms:created>
  <dcterms:modified xsi:type="dcterms:W3CDTF">2026-03-24T05:14:25Z</dcterms:modified>
</cp:coreProperties>
</file>