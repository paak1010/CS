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jhpark\OneDrive - 맨소래담\바탕 화면\편의점 &amp; 샘플\"/>
    </mc:Choice>
  </mc:AlternateContent>
  <xr:revisionPtr revIDLastSave="0" documentId="13_ncr:1_{76962E90-3250-471F-B8DC-8BF924D65AEC}" xr6:coauthVersionLast="47" xr6:coauthVersionMax="47" xr10:uidLastSave="{00000000-0000-0000-0000-000000000000}"/>
  <bookViews>
    <workbookView xWindow="-96" yWindow="-96" windowWidth="23232" windowHeight="12552" activeTab="1" xr2:uid="{00000000-000D-0000-FFFF-FFFF00000000}"/>
  </bookViews>
  <sheets>
    <sheet name="DATA" sheetId="1" r:id="rId1"/>
    <sheet name="서식파일(수주업로드)" sheetId="2" r:id="rId2"/>
    <sheet name="제품코드" sheetId="3" r:id="rId3"/>
    <sheet name="점포명" sheetId="4" r:id="rId4"/>
  </sheets>
  <definedNames>
    <definedName name="_xlnm._FilterDatabase" localSheetId="1" hidden="1">'서식파일(수주업로드)'!$A$1:$K$182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" i="2" l="1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J9" i="2"/>
  <c r="J10" i="2"/>
  <c r="J11" i="2"/>
  <c r="J12" i="2"/>
  <c r="J13" i="2"/>
  <c r="J14" i="2"/>
  <c r="J15" i="2"/>
  <c r="J16" i="2"/>
  <c r="J17" i="2"/>
  <c r="D7" i="2"/>
  <c r="D8" i="2"/>
  <c r="D9" i="2"/>
  <c r="D10" i="2"/>
  <c r="D11" i="2"/>
  <c r="D12" i="2"/>
  <c r="D13" i="2"/>
  <c r="D14" i="2"/>
  <c r="D15" i="2"/>
  <c r="A3" i="2" l="1"/>
  <c r="A4" i="2"/>
  <c r="A5" i="2"/>
  <c r="A6" i="2"/>
  <c r="A2" i="2"/>
  <c r="I3" i="2"/>
  <c r="I4" i="2"/>
  <c r="I5" i="2"/>
  <c r="I6" i="2"/>
  <c r="I2" i="2"/>
  <c r="H3" i="2"/>
  <c r="H4" i="2"/>
  <c r="H5" i="2"/>
  <c r="H6" i="2"/>
  <c r="H2" i="2"/>
  <c r="F3" i="2"/>
  <c r="G3" i="2" s="1"/>
  <c r="J3" i="2" s="1"/>
  <c r="F4" i="2"/>
  <c r="F5" i="2"/>
  <c r="G5" i="2" s="1"/>
  <c r="J5" i="2" s="1"/>
  <c r="F6" i="2"/>
  <c r="G6" i="2" s="1"/>
  <c r="J6" i="2" s="1"/>
  <c r="F2" i="2"/>
  <c r="G2" i="2" s="1"/>
  <c r="D3" i="2"/>
  <c r="E3" i="2" s="1"/>
  <c r="D4" i="2"/>
  <c r="E4" i="2" s="1"/>
  <c r="D5" i="2"/>
  <c r="E5" i="2" s="1"/>
  <c r="D6" i="2"/>
  <c r="E6" i="2" s="1"/>
  <c r="D2" i="2"/>
  <c r="E2" i="2" s="1"/>
  <c r="B3" i="2"/>
  <c r="C3" i="2" s="1"/>
  <c r="B4" i="2"/>
  <c r="C4" i="2" s="1"/>
  <c r="B5" i="2"/>
  <c r="C5" i="2" s="1"/>
  <c r="B6" i="2"/>
  <c r="C6" i="2" s="1"/>
  <c r="B2" i="2"/>
  <c r="C2" i="2" s="1"/>
  <c r="N2" i="2"/>
  <c r="O2" i="2"/>
  <c r="N3" i="2"/>
  <c r="O3" i="2"/>
  <c r="N4" i="2"/>
  <c r="O4" i="2"/>
  <c r="N5" i="2"/>
  <c r="O5" i="2"/>
  <c r="A7" i="2"/>
  <c r="B7" i="2"/>
  <c r="C7" i="2" s="1"/>
  <c r="E7" i="2"/>
  <c r="F7" i="2"/>
  <c r="H7" i="2"/>
  <c r="A8" i="2"/>
  <c r="B8" i="2"/>
  <c r="C8" i="2" s="1"/>
  <c r="E8" i="2"/>
  <c r="F8" i="2"/>
  <c r="J8" i="2" s="1"/>
  <c r="H8" i="2"/>
  <c r="A9" i="2"/>
  <c r="B9" i="2"/>
  <c r="E9" i="2"/>
  <c r="F9" i="2"/>
  <c r="H9" i="2"/>
  <c r="A10" i="2"/>
  <c r="B10" i="2"/>
  <c r="E10" i="2"/>
  <c r="F10" i="2"/>
  <c r="H10" i="2"/>
  <c r="A11" i="2"/>
  <c r="B11" i="2"/>
  <c r="E11" i="2"/>
  <c r="F11" i="2"/>
  <c r="H11" i="2"/>
  <c r="A12" i="2"/>
  <c r="B12" i="2"/>
  <c r="E12" i="2"/>
  <c r="F12" i="2"/>
  <c r="H12" i="2"/>
  <c r="A13" i="2"/>
  <c r="B13" i="2"/>
  <c r="E13" i="2"/>
  <c r="F13" i="2"/>
  <c r="H13" i="2"/>
  <c r="A14" i="2"/>
  <c r="B14" i="2"/>
  <c r="E14" i="2"/>
  <c r="F14" i="2"/>
  <c r="H14" i="2"/>
  <c r="G7" i="2" l="1"/>
  <c r="J7" i="2" s="1"/>
  <c r="K7" i="2" s="1"/>
  <c r="P4" i="2"/>
  <c r="P3" i="2"/>
  <c r="P2" i="2"/>
  <c r="P5" i="2"/>
  <c r="J2" i="2"/>
  <c r="K2" i="2" s="1"/>
  <c r="G4" i="2"/>
  <c r="J4" i="2" s="1"/>
  <c r="K4" i="2" s="1"/>
  <c r="K3" i="2"/>
  <c r="K12" i="2"/>
  <c r="K14" i="2"/>
  <c r="K8" i="2"/>
  <c r="K9" i="2"/>
  <c r="K5" i="2"/>
  <c r="K13" i="2"/>
  <c r="K11" i="2"/>
  <c r="K6" i="2"/>
  <c r="K10" i="2"/>
  <c r="A15" i="2"/>
  <c r="B15" i="2"/>
  <c r="E15" i="2"/>
  <c r="F15" i="2"/>
  <c r="H15" i="2"/>
  <c r="A16" i="2"/>
  <c r="B16" i="2"/>
  <c r="D16" i="2"/>
  <c r="E16" i="2" s="1"/>
  <c r="F16" i="2"/>
  <c r="H16" i="2"/>
  <c r="A17" i="2"/>
  <c r="B17" i="2"/>
  <c r="D17" i="2"/>
  <c r="E17" i="2" s="1"/>
  <c r="F17" i="2"/>
  <c r="H17" i="2"/>
  <c r="A18" i="2"/>
  <c r="B18" i="2"/>
  <c r="D18" i="2"/>
  <c r="E18" i="2" s="1"/>
  <c r="F18" i="2"/>
  <c r="J18" i="2" s="1"/>
  <c r="H18" i="2"/>
  <c r="A19" i="2"/>
  <c r="B19" i="2"/>
  <c r="D19" i="2"/>
  <c r="E19" i="2" s="1"/>
  <c r="F19" i="2"/>
  <c r="J19" i="2" s="1"/>
  <c r="H19" i="2"/>
  <c r="A20" i="2"/>
  <c r="B20" i="2"/>
  <c r="D20" i="2"/>
  <c r="E20" i="2" s="1"/>
  <c r="F20" i="2"/>
  <c r="J20" i="2" s="1"/>
  <c r="H20" i="2"/>
  <c r="K18" i="2" l="1"/>
  <c r="K15" i="2"/>
  <c r="K19" i="2"/>
  <c r="K17" i="2"/>
  <c r="K20" i="2"/>
  <c r="K16" i="2"/>
  <c r="H21" i="2" l="1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D21" i="2"/>
  <c r="E21" i="2" s="1"/>
  <c r="F21" i="2"/>
  <c r="J21" i="2" s="1"/>
  <c r="D22" i="2"/>
  <c r="E22" i="2" s="1"/>
  <c r="F22" i="2"/>
  <c r="J22" i="2" s="1"/>
  <c r="K22" i="2" l="1"/>
  <c r="K21" i="2"/>
  <c r="F23" i="2" l="1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F143" i="2"/>
  <c r="F144" i="2"/>
  <c r="F145" i="2"/>
  <c r="F146" i="2"/>
  <c r="F147" i="2"/>
  <c r="F148" i="2"/>
  <c r="F149" i="2"/>
  <c r="F150" i="2"/>
  <c r="F151" i="2"/>
  <c r="F152" i="2"/>
  <c r="F153" i="2"/>
  <c r="F154" i="2"/>
  <c r="F155" i="2"/>
  <c r="F156" i="2"/>
  <c r="F157" i="2"/>
  <c r="F158" i="2"/>
  <c r="F159" i="2"/>
  <c r="F160" i="2"/>
  <c r="F161" i="2"/>
  <c r="F162" i="2"/>
  <c r="F163" i="2"/>
  <c r="F164" i="2"/>
  <c r="F165" i="2"/>
  <c r="F166" i="2"/>
  <c r="F167" i="2"/>
  <c r="F168" i="2"/>
  <c r="F169" i="2"/>
  <c r="F170" i="2"/>
  <c r="F171" i="2"/>
  <c r="F172" i="2"/>
  <c r="F173" i="2"/>
  <c r="F174" i="2"/>
  <c r="F175" i="2"/>
  <c r="F176" i="2"/>
  <c r="F177" i="2"/>
  <c r="F178" i="2"/>
  <c r="F179" i="2"/>
  <c r="F180" i="2"/>
  <c r="F181" i="2"/>
  <c r="F182" i="2"/>
  <c r="D23" i="2"/>
  <c r="E23" i="2" s="1"/>
  <c r="D24" i="2"/>
  <c r="E24" i="2" s="1"/>
  <c r="D25" i="2"/>
  <c r="E25" i="2" s="1"/>
  <c r="D26" i="2"/>
  <c r="E26" i="2" s="1"/>
  <c r="D27" i="2"/>
  <c r="E27" i="2" s="1"/>
  <c r="D28" i="2"/>
  <c r="E28" i="2" s="1"/>
  <c r="D29" i="2"/>
  <c r="E29" i="2" s="1"/>
  <c r="D30" i="2"/>
  <c r="E30" i="2" s="1"/>
  <c r="D31" i="2"/>
  <c r="E31" i="2" s="1"/>
  <c r="D32" i="2"/>
  <c r="E32" i="2" s="1"/>
  <c r="D33" i="2"/>
  <c r="E33" i="2" s="1"/>
  <c r="D34" i="2"/>
  <c r="E34" i="2" s="1"/>
  <c r="D35" i="2"/>
  <c r="E35" i="2" s="1"/>
  <c r="D36" i="2"/>
  <c r="E36" i="2" s="1"/>
  <c r="D37" i="2"/>
  <c r="E37" i="2" s="1"/>
  <c r="D38" i="2"/>
  <c r="E38" i="2" s="1"/>
  <c r="D39" i="2"/>
  <c r="E39" i="2" s="1"/>
  <c r="D40" i="2"/>
  <c r="E40" i="2" s="1"/>
  <c r="D41" i="2"/>
  <c r="E41" i="2" s="1"/>
  <c r="D42" i="2"/>
  <c r="E42" i="2" s="1"/>
  <c r="D43" i="2"/>
  <c r="E43" i="2" s="1"/>
  <c r="D44" i="2"/>
  <c r="E44" i="2" s="1"/>
  <c r="D45" i="2"/>
  <c r="E45" i="2" s="1"/>
  <c r="D46" i="2"/>
  <c r="E46" i="2" s="1"/>
  <c r="D47" i="2"/>
  <c r="E47" i="2" s="1"/>
  <c r="D48" i="2"/>
  <c r="E48" i="2" s="1"/>
  <c r="D49" i="2"/>
  <c r="E49" i="2" s="1"/>
  <c r="D50" i="2"/>
  <c r="E50" i="2" s="1"/>
  <c r="D51" i="2"/>
  <c r="E51" i="2" s="1"/>
  <c r="D52" i="2"/>
  <c r="E52" i="2" s="1"/>
  <c r="D53" i="2"/>
  <c r="E53" i="2" s="1"/>
  <c r="D54" i="2"/>
  <c r="E54" i="2" s="1"/>
  <c r="D55" i="2"/>
  <c r="E55" i="2" s="1"/>
  <c r="D56" i="2"/>
  <c r="E56" i="2" s="1"/>
  <c r="D57" i="2"/>
  <c r="E57" i="2" s="1"/>
  <c r="D58" i="2"/>
  <c r="E58" i="2" s="1"/>
  <c r="D59" i="2"/>
  <c r="E59" i="2" s="1"/>
  <c r="D60" i="2"/>
  <c r="E60" i="2" s="1"/>
  <c r="D61" i="2"/>
  <c r="E61" i="2" s="1"/>
  <c r="D62" i="2"/>
  <c r="E62" i="2" s="1"/>
  <c r="D63" i="2"/>
  <c r="E63" i="2" s="1"/>
  <c r="D64" i="2"/>
  <c r="E64" i="2" s="1"/>
  <c r="D65" i="2"/>
  <c r="E65" i="2" s="1"/>
  <c r="D66" i="2"/>
  <c r="E66" i="2" s="1"/>
  <c r="D67" i="2"/>
  <c r="E67" i="2" s="1"/>
  <c r="D68" i="2"/>
  <c r="E68" i="2" s="1"/>
  <c r="D69" i="2"/>
  <c r="E69" i="2" s="1"/>
  <c r="D70" i="2"/>
  <c r="E70" i="2" s="1"/>
  <c r="D71" i="2"/>
  <c r="E71" i="2" s="1"/>
  <c r="D72" i="2"/>
  <c r="E72" i="2" s="1"/>
  <c r="D73" i="2"/>
  <c r="E73" i="2" s="1"/>
  <c r="D74" i="2"/>
  <c r="E74" i="2" s="1"/>
  <c r="D75" i="2"/>
  <c r="E75" i="2" s="1"/>
  <c r="D76" i="2"/>
  <c r="E76" i="2" s="1"/>
  <c r="D77" i="2"/>
  <c r="E77" i="2" s="1"/>
  <c r="D78" i="2"/>
  <c r="E78" i="2" s="1"/>
  <c r="D79" i="2"/>
  <c r="E79" i="2" s="1"/>
  <c r="D80" i="2"/>
  <c r="E80" i="2" s="1"/>
  <c r="D81" i="2"/>
  <c r="E81" i="2" s="1"/>
  <c r="D82" i="2"/>
  <c r="E82" i="2" s="1"/>
  <c r="D83" i="2"/>
  <c r="E83" i="2" s="1"/>
  <c r="D84" i="2"/>
  <c r="E84" i="2" s="1"/>
  <c r="D85" i="2"/>
  <c r="E85" i="2" s="1"/>
  <c r="D86" i="2"/>
  <c r="E86" i="2" s="1"/>
  <c r="D87" i="2"/>
  <c r="E87" i="2" s="1"/>
  <c r="D88" i="2"/>
  <c r="E88" i="2" s="1"/>
  <c r="D89" i="2"/>
  <c r="E89" i="2" s="1"/>
  <c r="D90" i="2"/>
  <c r="E90" i="2" s="1"/>
  <c r="D91" i="2"/>
  <c r="E91" i="2" s="1"/>
  <c r="D92" i="2"/>
  <c r="E92" i="2" s="1"/>
  <c r="D93" i="2"/>
  <c r="E93" i="2" s="1"/>
  <c r="D94" i="2"/>
  <c r="E94" i="2" s="1"/>
  <c r="D95" i="2"/>
  <c r="E95" i="2" s="1"/>
  <c r="D96" i="2"/>
  <c r="E96" i="2" s="1"/>
  <c r="D97" i="2"/>
  <c r="E97" i="2" s="1"/>
  <c r="D98" i="2"/>
  <c r="E98" i="2" s="1"/>
  <c r="D99" i="2"/>
  <c r="E99" i="2" s="1"/>
  <c r="D100" i="2"/>
  <c r="E100" i="2" s="1"/>
  <c r="D101" i="2"/>
  <c r="E101" i="2" s="1"/>
  <c r="D102" i="2"/>
  <c r="E102" i="2" s="1"/>
  <c r="D103" i="2"/>
  <c r="E103" i="2" s="1"/>
  <c r="D104" i="2"/>
  <c r="E104" i="2" s="1"/>
  <c r="D105" i="2"/>
  <c r="E105" i="2" s="1"/>
  <c r="D106" i="2"/>
  <c r="E106" i="2" s="1"/>
  <c r="D107" i="2"/>
  <c r="E107" i="2" s="1"/>
  <c r="D108" i="2"/>
  <c r="E108" i="2" s="1"/>
  <c r="D109" i="2"/>
  <c r="E109" i="2" s="1"/>
  <c r="D110" i="2"/>
  <c r="E110" i="2" s="1"/>
  <c r="D111" i="2"/>
  <c r="E111" i="2" s="1"/>
  <c r="D112" i="2"/>
  <c r="E112" i="2" s="1"/>
  <c r="D113" i="2"/>
  <c r="E113" i="2" s="1"/>
  <c r="D114" i="2"/>
  <c r="E114" i="2" s="1"/>
  <c r="D115" i="2"/>
  <c r="E115" i="2" s="1"/>
  <c r="D116" i="2"/>
  <c r="E116" i="2" s="1"/>
  <c r="D117" i="2"/>
  <c r="E117" i="2" s="1"/>
  <c r="D118" i="2"/>
  <c r="E118" i="2" s="1"/>
  <c r="D119" i="2"/>
  <c r="E119" i="2" s="1"/>
  <c r="D120" i="2"/>
  <c r="E120" i="2" s="1"/>
  <c r="D121" i="2"/>
  <c r="E121" i="2" s="1"/>
  <c r="D122" i="2"/>
  <c r="E122" i="2" s="1"/>
  <c r="D123" i="2"/>
  <c r="E123" i="2" s="1"/>
  <c r="D124" i="2"/>
  <c r="E124" i="2" s="1"/>
  <c r="D125" i="2"/>
  <c r="E125" i="2" s="1"/>
  <c r="D126" i="2"/>
  <c r="E126" i="2" s="1"/>
  <c r="D127" i="2"/>
  <c r="E127" i="2" s="1"/>
  <c r="D128" i="2"/>
  <c r="E128" i="2" s="1"/>
  <c r="D129" i="2"/>
  <c r="E129" i="2" s="1"/>
  <c r="D130" i="2"/>
  <c r="E130" i="2" s="1"/>
  <c r="D131" i="2"/>
  <c r="E131" i="2" s="1"/>
  <c r="D132" i="2"/>
  <c r="E132" i="2" s="1"/>
  <c r="D133" i="2"/>
  <c r="E133" i="2" s="1"/>
  <c r="D134" i="2"/>
  <c r="E134" i="2" s="1"/>
  <c r="D135" i="2"/>
  <c r="E135" i="2" s="1"/>
  <c r="D136" i="2"/>
  <c r="E136" i="2" s="1"/>
  <c r="D137" i="2"/>
  <c r="E137" i="2" s="1"/>
  <c r="D138" i="2"/>
  <c r="E138" i="2" s="1"/>
  <c r="D139" i="2"/>
  <c r="E139" i="2" s="1"/>
  <c r="D140" i="2"/>
  <c r="E140" i="2" s="1"/>
  <c r="D141" i="2"/>
  <c r="E141" i="2" s="1"/>
  <c r="D142" i="2"/>
  <c r="E142" i="2" s="1"/>
  <c r="D143" i="2"/>
  <c r="E143" i="2" s="1"/>
  <c r="D144" i="2"/>
  <c r="E144" i="2" s="1"/>
  <c r="D145" i="2"/>
  <c r="E145" i="2" s="1"/>
  <c r="D146" i="2"/>
  <c r="E146" i="2" s="1"/>
  <c r="D147" i="2"/>
  <c r="E147" i="2" s="1"/>
  <c r="D148" i="2"/>
  <c r="E148" i="2" s="1"/>
  <c r="D149" i="2"/>
  <c r="E149" i="2" s="1"/>
  <c r="D150" i="2"/>
  <c r="E150" i="2" s="1"/>
  <c r="D151" i="2"/>
  <c r="E151" i="2" s="1"/>
  <c r="D152" i="2"/>
  <c r="E152" i="2" s="1"/>
  <c r="D153" i="2"/>
  <c r="E153" i="2" s="1"/>
  <c r="D154" i="2"/>
  <c r="E154" i="2" s="1"/>
  <c r="D155" i="2"/>
  <c r="E155" i="2" s="1"/>
  <c r="D156" i="2"/>
  <c r="E156" i="2" s="1"/>
  <c r="D157" i="2"/>
  <c r="E157" i="2" s="1"/>
  <c r="D158" i="2"/>
  <c r="E158" i="2" s="1"/>
  <c r="D159" i="2"/>
  <c r="E159" i="2" s="1"/>
  <c r="D160" i="2"/>
  <c r="E160" i="2" s="1"/>
  <c r="D161" i="2"/>
  <c r="E161" i="2" s="1"/>
  <c r="D162" i="2"/>
  <c r="E162" i="2" s="1"/>
  <c r="D163" i="2"/>
  <c r="E163" i="2" s="1"/>
  <c r="D164" i="2"/>
  <c r="E164" i="2" s="1"/>
  <c r="D165" i="2"/>
  <c r="E165" i="2" s="1"/>
  <c r="D166" i="2"/>
  <c r="E166" i="2" s="1"/>
  <c r="D167" i="2"/>
  <c r="E167" i="2" s="1"/>
  <c r="D168" i="2"/>
  <c r="E168" i="2" s="1"/>
  <c r="D169" i="2"/>
  <c r="E169" i="2" s="1"/>
  <c r="D170" i="2"/>
  <c r="E170" i="2" s="1"/>
  <c r="D171" i="2"/>
  <c r="E171" i="2" s="1"/>
  <c r="D172" i="2"/>
  <c r="E172" i="2" s="1"/>
  <c r="D173" i="2"/>
  <c r="E173" i="2" s="1"/>
  <c r="D174" i="2"/>
  <c r="E174" i="2" s="1"/>
  <c r="D175" i="2"/>
  <c r="E175" i="2" s="1"/>
  <c r="D176" i="2"/>
  <c r="E176" i="2" s="1"/>
  <c r="D177" i="2"/>
  <c r="E177" i="2" s="1"/>
  <c r="D178" i="2"/>
  <c r="E178" i="2" s="1"/>
  <c r="D179" i="2"/>
  <c r="E179" i="2" s="1"/>
  <c r="D180" i="2"/>
  <c r="E180" i="2" s="1"/>
  <c r="D181" i="2"/>
  <c r="E181" i="2" s="1"/>
  <c r="D182" i="2"/>
  <c r="E182" i="2" s="1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105" i="2"/>
  <c r="B106" i="2"/>
  <c r="B107" i="2"/>
  <c r="B108" i="2"/>
  <c r="B109" i="2"/>
  <c r="B110" i="2"/>
  <c r="B111" i="2"/>
  <c r="B112" i="2"/>
  <c r="B113" i="2"/>
  <c r="B114" i="2"/>
  <c r="B115" i="2"/>
  <c r="B116" i="2"/>
  <c r="B117" i="2"/>
  <c r="B118" i="2"/>
  <c r="B119" i="2"/>
  <c r="B120" i="2"/>
  <c r="B121" i="2"/>
  <c r="B122" i="2"/>
  <c r="B123" i="2"/>
  <c r="B124" i="2"/>
  <c r="B125" i="2"/>
  <c r="B126" i="2"/>
  <c r="B127" i="2"/>
  <c r="B128" i="2"/>
  <c r="B129" i="2"/>
  <c r="B130" i="2"/>
  <c r="B131" i="2"/>
  <c r="B132" i="2"/>
  <c r="B133" i="2"/>
  <c r="B134" i="2"/>
  <c r="B135" i="2"/>
  <c r="B136" i="2"/>
  <c r="B137" i="2"/>
  <c r="B138" i="2"/>
  <c r="B139" i="2"/>
  <c r="B140" i="2"/>
  <c r="B141" i="2"/>
  <c r="B142" i="2"/>
  <c r="B143" i="2"/>
  <c r="B144" i="2"/>
  <c r="B145" i="2"/>
  <c r="B146" i="2"/>
  <c r="B147" i="2"/>
  <c r="B148" i="2"/>
  <c r="B149" i="2"/>
  <c r="B150" i="2"/>
  <c r="B151" i="2"/>
  <c r="B152" i="2"/>
  <c r="B153" i="2"/>
  <c r="B154" i="2"/>
  <c r="B155" i="2"/>
  <c r="B156" i="2"/>
  <c r="B157" i="2"/>
  <c r="B158" i="2"/>
  <c r="B159" i="2"/>
  <c r="B160" i="2"/>
  <c r="B161" i="2"/>
  <c r="B162" i="2"/>
  <c r="B163" i="2"/>
  <c r="B164" i="2"/>
  <c r="B165" i="2"/>
  <c r="B166" i="2"/>
  <c r="B167" i="2"/>
  <c r="B168" i="2"/>
  <c r="B169" i="2"/>
  <c r="B170" i="2"/>
  <c r="B171" i="2"/>
  <c r="B172" i="2"/>
  <c r="B173" i="2"/>
  <c r="B174" i="2"/>
  <c r="B175" i="2"/>
  <c r="B176" i="2"/>
  <c r="B177" i="2"/>
  <c r="B178" i="2"/>
  <c r="B179" i="2"/>
  <c r="B180" i="2"/>
  <c r="B181" i="2"/>
  <c r="B182" i="2"/>
  <c r="J94" i="2" l="1"/>
  <c r="K94" i="2" s="1"/>
  <c r="J88" i="2"/>
  <c r="K88" i="2" s="1"/>
  <c r="J82" i="2"/>
  <c r="K82" i="2" s="1"/>
  <c r="J76" i="2"/>
  <c r="K76" i="2" s="1"/>
  <c r="J70" i="2"/>
  <c r="K70" i="2" s="1"/>
  <c r="J64" i="2"/>
  <c r="K64" i="2" s="1"/>
  <c r="J58" i="2"/>
  <c r="K58" i="2" s="1"/>
  <c r="J52" i="2"/>
  <c r="K52" i="2" s="1"/>
  <c r="J46" i="2"/>
  <c r="K46" i="2" s="1"/>
  <c r="J40" i="2"/>
  <c r="K40" i="2" s="1"/>
  <c r="J34" i="2"/>
  <c r="K34" i="2" s="1"/>
  <c r="J28" i="2"/>
  <c r="K28" i="2" s="1"/>
  <c r="J182" i="2"/>
  <c r="K182" i="2" s="1"/>
  <c r="J176" i="2"/>
  <c r="K176" i="2" s="1"/>
  <c r="J170" i="2"/>
  <c r="K170" i="2" s="1"/>
  <c r="J164" i="2"/>
  <c r="K164" i="2" s="1"/>
  <c r="J158" i="2"/>
  <c r="K158" i="2" s="1"/>
  <c r="J152" i="2"/>
  <c r="K152" i="2" s="1"/>
  <c r="J146" i="2"/>
  <c r="K146" i="2" s="1"/>
  <c r="J140" i="2"/>
  <c r="K140" i="2" s="1"/>
  <c r="K134" i="2"/>
  <c r="J134" i="2"/>
  <c r="J128" i="2"/>
  <c r="K128" i="2" s="1"/>
  <c r="J122" i="2"/>
  <c r="K122" i="2" s="1"/>
  <c r="J116" i="2"/>
  <c r="K116" i="2" s="1"/>
  <c r="J110" i="2"/>
  <c r="K110" i="2" s="1"/>
  <c r="J104" i="2"/>
  <c r="K104" i="2" s="1"/>
  <c r="J98" i="2"/>
  <c r="K98" i="2" s="1"/>
  <c r="J92" i="2"/>
  <c r="K92" i="2" s="1"/>
  <c r="J86" i="2"/>
  <c r="K86" i="2" s="1"/>
  <c r="K80" i="2"/>
  <c r="J80" i="2"/>
  <c r="J181" i="2"/>
  <c r="K181" i="2" s="1"/>
  <c r="J175" i="2"/>
  <c r="K175" i="2" s="1"/>
  <c r="J169" i="2"/>
  <c r="K169" i="2" s="1"/>
  <c r="J163" i="2"/>
  <c r="K163" i="2" s="1"/>
  <c r="J157" i="2"/>
  <c r="K157" i="2" s="1"/>
  <c r="J151" i="2"/>
  <c r="K151" i="2" s="1"/>
  <c r="J145" i="2"/>
  <c r="K145" i="2" s="1"/>
  <c r="J139" i="2"/>
  <c r="K139" i="2" s="1"/>
  <c r="J133" i="2"/>
  <c r="K133" i="2" s="1"/>
  <c r="J127" i="2"/>
  <c r="K127" i="2" s="1"/>
  <c r="J121" i="2"/>
  <c r="K121" i="2" s="1"/>
  <c r="J180" i="2"/>
  <c r="K180" i="2" s="1"/>
  <c r="J174" i="2"/>
  <c r="K174" i="2" s="1"/>
  <c r="J168" i="2"/>
  <c r="K168" i="2" s="1"/>
  <c r="J162" i="2"/>
  <c r="K162" i="2" s="1"/>
  <c r="J156" i="2"/>
  <c r="K156" i="2" s="1"/>
  <c r="J150" i="2"/>
  <c r="K150" i="2" s="1"/>
  <c r="J144" i="2"/>
  <c r="K144" i="2" s="1"/>
  <c r="J138" i="2"/>
  <c r="K138" i="2" s="1"/>
  <c r="J132" i="2"/>
  <c r="K132" i="2" s="1"/>
  <c r="J126" i="2"/>
  <c r="K126" i="2" s="1"/>
  <c r="J120" i="2"/>
  <c r="K120" i="2" s="1"/>
  <c r="J114" i="2"/>
  <c r="K114" i="2" s="1"/>
  <c r="J179" i="2"/>
  <c r="K179" i="2" s="1"/>
  <c r="J173" i="2"/>
  <c r="K173" i="2" s="1"/>
  <c r="J167" i="2"/>
  <c r="K167" i="2" s="1"/>
  <c r="J161" i="2"/>
  <c r="K161" i="2" s="1"/>
  <c r="J155" i="2"/>
  <c r="K155" i="2" s="1"/>
  <c r="J149" i="2"/>
  <c r="K149" i="2" s="1"/>
  <c r="K143" i="2"/>
  <c r="J143" i="2"/>
  <c r="J137" i="2"/>
  <c r="K137" i="2" s="1"/>
  <c r="J131" i="2"/>
  <c r="K131" i="2" s="1"/>
  <c r="J125" i="2"/>
  <c r="K125" i="2" s="1"/>
  <c r="J119" i="2"/>
  <c r="K119" i="2" s="1"/>
  <c r="J113" i="2"/>
  <c r="K113" i="2" s="1"/>
  <c r="J107" i="2"/>
  <c r="K107" i="2" s="1"/>
  <c r="J101" i="2"/>
  <c r="K101" i="2" s="1"/>
  <c r="J178" i="2"/>
  <c r="K178" i="2" s="1"/>
  <c r="J172" i="2"/>
  <c r="K172" i="2" s="1"/>
  <c r="J166" i="2"/>
  <c r="K166" i="2" s="1"/>
  <c r="J160" i="2"/>
  <c r="K160" i="2" s="1"/>
  <c r="J154" i="2"/>
  <c r="K154" i="2" s="1"/>
  <c r="J148" i="2"/>
  <c r="K148" i="2" s="1"/>
  <c r="J142" i="2"/>
  <c r="K142" i="2" s="1"/>
  <c r="J136" i="2"/>
  <c r="K136" i="2" s="1"/>
  <c r="J130" i="2"/>
  <c r="K130" i="2" s="1"/>
  <c r="J124" i="2"/>
  <c r="K124" i="2" s="1"/>
  <c r="J118" i="2"/>
  <c r="K118" i="2" s="1"/>
  <c r="J112" i="2"/>
  <c r="K112" i="2" s="1"/>
  <c r="J106" i="2"/>
  <c r="K106" i="2" s="1"/>
  <c r="J100" i="2"/>
  <c r="K100" i="2" s="1"/>
  <c r="J177" i="2"/>
  <c r="K177" i="2" s="1"/>
  <c r="J171" i="2"/>
  <c r="K171" i="2" s="1"/>
  <c r="J165" i="2"/>
  <c r="K165" i="2" s="1"/>
  <c r="J159" i="2"/>
  <c r="K159" i="2" s="1"/>
  <c r="J153" i="2"/>
  <c r="K153" i="2" s="1"/>
  <c r="J147" i="2"/>
  <c r="K147" i="2" s="1"/>
  <c r="J141" i="2"/>
  <c r="K141" i="2" s="1"/>
  <c r="J135" i="2"/>
  <c r="K135" i="2" s="1"/>
  <c r="J129" i="2"/>
  <c r="K129" i="2" s="1"/>
  <c r="J123" i="2"/>
  <c r="K123" i="2" s="1"/>
  <c r="J117" i="2"/>
  <c r="K117" i="2" s="1"/>
  <c r="J111" i="2"/>
  <c r="K111" i="2" s="1"/>
  <c r="J105" i="2"/>
  <c r="K105" i="2" s="1"/>
  <c r="J99" i="2"/>
  <c r="K99" i="2" s="1"/>
  <c r="J93" i="2"/>
  <c r="K93" i="2" s="1"/>
  <c r="J87" i="2"/>
  <c r="K87" i="2" s="1"/>
  <c r="J81" i="2"/>
  <c r="K81" i="2" s="1"/>
  <c r="J75" i="2"/>
  <c r="K75" i="2" s="1"/>
  <c r="J69" i="2"/>
  <c r="K69" i="2" s="1"/>
  <c r="J63" i="2"/>
  <c r="K63" i="2" s="1"/>
  <c r="J57" i="2"/>
  <c r="K57" i="2" s="1"/>
  <c r="J51" i="2"/>
  <c r="K51" i="2" s="1"/>
  <c r="J45" i="2"/>
  <c r="K45" i="2" s="1"/>
  <c r="J39" i="2"/>
  <c r="K39" i="2" s="1"/>
  <c r="J33" i="2"/>
  <c r="K33" i="2" s="1"/>
  <c r="J27" i="2"/>
  <c r="K27" i="2" s="1"/>
  <c r="J74" i="2"/>
  <c r="K74" i="2" s="1"/>
  <c r="J68" i="2"/>
  <c r="K68" i="2" s="1"/>
  <c r="J62" i="2"/>
  <c r="K62" i="2" s="1"/>
  <c r="J56" i="2"/>
  <c r="K56" i="2" s="1"/>
  <c r="J50" i="2"/>
  <c r="K50" i="2" s="1"/>
  <c r="J44" i="2"/>
  <c r="K44" i="2" s="1"/>
  <c r="J38" i="2"/>
  <c r="K38" i="2" s="1"/>
  <c r="J32" i="2"/>
  <c r="K32" i="2" s="1"/>
  <c r="J26" i="2"/>
  <c r="K26" i="2" s="1"/>
  <c r="J115" i="2"/>
  <c r="K115" i="2" s="1"/>
  <c r="J109" i="2"/>
  <c r="K109" i="2" s="1"/>
  <c r="J103" i="2"/>
  <c r="K103" i="2" s="1"/>
  <c r="J97" i="2"/>
  <c r="K97" i="2" s="1"/>
  <c r="J91" i="2"/>
  <c r="K91" i="2" s="1"/>
  <c r="J85" i="2"/>
  <c r="K85" i="2" s="1"/>
  <c r="J79" i="2"/>
  <c r="K79" i="2" s="1"/>
  <c r="J73" i="2"/>
  <c r="K73" i="2" s="1"/>
  <c r="J67" i="2"/>
  <c r="K67" i="2" s="1"/>
  <c r="J61" i="2"/>
  <c r="K61" i="2" s="1"/>
  <c r="J55" i="2"/>
  <c r="K55" i="2" s="1"/>
  <c r="J49" i="2"/>
  <c r="K49" i="2" s="1"/>
  <c r="J43" i="2"/>
  <c r="K43" i="2" s="1"/>
  <c r="J37" i="2"/>
  <c r="K37" i="2" s="1"/>
  <c r="J31" i="2"/>
  <c r="K31" i="2" s="1"/>
  <c r="J25" i="2"/>
  <c r="K25" i="2" s="1"/>
  <c r="J108" i="2"/>
  <c r="K108" i="2" s="1"/>
  <c r="J102" i="2"/>
  <c r="K102" i="2" s="1"/>
  <c r="J96" i="2"/>
  <c r="K96" i="2" s="1"/>
  <c r="J90" i="2"/>
  <c r="K90" i="2" s="1"/>
  <c r="J84" i="2"/>
  <c r="K84" i="2" s="1"/>
  <c r="J78" i="2"/>
  <c r="K78" i="2" s="1"/>
  <c r="J72" i="2"/>
  <c r="K72" i="2" s="1"/>
  <c r="J66" i="2"/>
  <c r="K66" i="2" s="1"/>
  <c r="J60" i="2"/>
  <c r="K60" i="2" s="1"/>
  <c r="J54" i="2"/>
  <c r="K54" i="2" s="1"/>
  <c r="J48" i="2"/>
  <c r="K48" i="2" s="1"/>
  <c r="J42" i="2"/>
  <c r="K42" i="2" s="1"/>
  <c r="J36" i="2"/>
  <c r="K36" i="2" s="1"/>
  <c r="J30" i="2"/>
  <c r="K30" i="2" s="1"/>
  <c r="J24" i="2"/>
  <c r="K24" i="2" s="1"/>
  <c r="J95" i="2"/>
  <c r="K95" i="2" s="1"/>
  <c r="J89" i="2"/>
  <c r="K89" i="2" s="1"/>
  <c r="J83" i="2"/>
  <c r="K83" i="2" s="1"/>
  <c r="J77" i="2"/>
  <c r="K77" i="2" s="1"/>
  <c r="J71" i="2"/>
  <c r="K71" i="2" s="1"/>
  <c r="J65" i="2"/>
  <c r="K65" i="2" s="1"/>
  <c r="J59" i="2"/>
  <c r="K59" i="2" s="1"/>
  <c r="J53" i="2"/>
  <c r="K53" i="2" s="1"/>
  <c r="J47" i="2"/>
  <c r="K47" i="2" s="1"/>
  <c r="J41" i="2"/>
  <c r="K41" i="2" s="1"/>
  <c r="J35" i="2"/>
  <c r="K35" i="2" s="1"/>
  <c r="J29" i="2"/>
  <c r="K29" i="2" s="1"/>
  <c r="J23" i="2"/>
  <c r="K23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Snow Kim</author>
  </authors>
  <commentList>
    <comment ref="G2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Snow Kim: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고정값</t>
        </r>
        <r>
          <rPr>
            <sz val="9"/>
            <color indexed="81"/>
            <rFont val="Tahoma"/>
            <family val="2"/>
          </rPr>
          <t xml:space="preserve"> ME00421180</t>
        </r>
      </text>
    </comment>
  </commentList>
</comments>
</file>

<file path=xl/sharedStrings.xml><?xml version="1.0" encoding="utf-8"?>
<sst xmlns="http://schemas.openxmlformats.org/spreadsheetml/2006/main" count="173" uniqueCount="138">
  <si>
    <t>센터명</t>
  </si>
  <si>
    <t>상품 코드</t>
  </si>
  <si>
    <t>상품명</t>
  </si>
  <si>
    <t>납품예정일자</t>
  </si>
  <si>
    <t>수정일자</t>
  </si>
  <si>
    <t>납품예정시간</t>
  </si>
  <si>
    <t>수정시간</t>
  </si>
  <si>
    <t>총수량</t>
  </si>
  <si>
    <t>수정수량</t>
  </si>
  <si>
    <t>수정배수</t>
  </si>
  <si>
    <t>발주단위수량</t>
  </si>
  <si>
    <t>규격</t>
  </si>
  <si>
    <t>미납/일자변경사유</t>
  </si>
  <si>
    <t>제조 일자</t>
  </si>
  <si>
    <t>혼재 여부</t>
  </si>
  <si>
    <t>운송 수단</t>
  </si>
  <si>
    <t>차량 번호</t>
  </si>
  <si>
    <t>택배사</t>
  </si>
  <si>
    <t>상품그룹</t>
  </si>
  <si>
    <t>BGF 발주 상태</t>
  </si>
  <si>
    <t>BGF로지스용인</t>
  </si>
  <si>
    <t>멘소래담)스프레이쿨타입</t>
  </si>
  <si>
    <t>BGF로지스강화</t>
  </si>
  <si>
    <t>하이로지스</t>
  </si>
  <si>
    <t>BGF로지스진주</t>
  </si>
  <si>
    <t>BGF로지스강릉</t>
  </si>
  <si>
    <t>점포명</t>
  </si>
  <si>
    <t>점포코드</t>
    <phoneticPr fontId="4" type="noConversion"/>
  </si>
  <si>
    <t>점포명</t>
    <phoneticPr fontId="4" type="noConversion"/>
  </si>
  <si>
    <t xml:space="preserve">배송코드 </t>
    <phoneticPr fontId="4" type="noConversion"/>
  </si>
  <si>
    <t>바코드</t>
    <phoneticPr fontId="4" type="noConversion"/>
  </si>
  <si>
    <t>상품명</t>
    <phoneticPr fontId="4" type="noConversion"/>
  </si>
  <si>
    <t>MECODE</t>
    <phoneticPr fontId="4" type="noConversion"/>
  </si>
  <si>
    <t>수량</t>
  </si>
  <si>
    <t>발주원가</t>
  </si>
  <si>
    <t>발주금액</t>
  </si>
  <si>
    <t>바코드</t>
    <phoneticPr fontId="10" type="noConversion"/>
  </si>
  <si>
    <t>제품코드</t>
    <phoneticPr fontId="10" type="noConversion"/>
  </si>
  <si>
    <t>상품명</t>
    <phoneticPr fontId="10" type="noConversion"/>
  </si>
  <si>
    <t>원가</t>
  </si>
  <si>
    <t>서울로지스</t>
  </si>
  <si>
    <t>경인로지스</t>
  </si>
  <si>
    <t>영남로지스</t>
  </si>
  <si>
    <t>보광로지스</t>
  </si>
  <si>
    <t>BGF로지스양주</t>
  </si>
  <si>
    <t>제주로지스</t>
  </si>
  <si>
    <t>대구로지스</t>
  </si>
  <si>
    <t>BGF로지스대구</t>
  </si>
  <si>
    <t>중부로지스</t>
  </si>
  <si>
    <t>동부로지스</t>
  </si>
  <si>
    <t>극동로지스</t>
  </si>
  <si>
    <t>엑소후레쉬일산</t>
  </si>
  <si>
    <t>아신</t>
  </si>
  <si>
    <t>화인훼미리</t>
  </si>
  <si>
    <t>동광로지스</t>
  </si>
  <si>
    <t>동광</t>
  </si>
  <si>
    <t>화인로지텍</t>
  </si>
  <si>
    <t>안성로지스</t>
  </si>
  <si>
    <t>BGF로지스안성</t>
  </si>
  <si>
    <t>나주로지스</t>
  </si>
  <si>
    <t>BGF로지스나주</t>
  </si>
  <si>
    <t>진주로지스</t>
  </si>
  <si>
    <t>수지로지스</t>
  </si>
  <si>
    <t>엑소후레쉬신갈</t>
  </si>
  <si>
    <t>안성잡화</t>
  </si>
  <si>
    <t>BGF로지스안성잡화</t>
  </si>
  <si>
    <t>강릉로지스</t>
  </si>
  <si>
    <t>진주잡화</t>
  </si>
  <si>
    <t>BGF로지스진주잡화</t>
  </si>
  <si>
    <t>점포명</t>
    <phoneticPr fontId="2" type="noConversion"/>
  </si>
  <si>
    <t>점포코드</t>
    <phoneticPr fontId="2" type="noConversion"/>
  </si>
  <si>
    <t>발주단위</t>
  </si>
  <si>
    <t>BGF로지스수지</t>
    <phoneticPr fontId="2" type="noConversion"/>
  </si>
  <si>
    <t>BGF 리테일 양산센터</t>
  </si>
  <si>
    <t>양산로지스</t>
    <phoneticPr fontId="2" type="noConversion"/>
  </si>
  <si>
    <t>BGF로지스울산</t>
    <phoneticPr fontId="2" type="noConversion"/>
  </si>
  <si>
    <t>BGF로지스인천</t>
    <phoneticPr fontId="2" type="noConversion"/>
  </si>
  <si>
    <t>김포물류</t>
    <phoneticPr fontId="4" type="noConversion"/>
  </si>
  <si>
    <t>BGF로지스김포</t>
  </si>
  <si>
    <t>BGF로지스세종</t>
  </si>
  <si>
    <t>세종물류</t>
    <phoneticPr fontId="2" type="noConversion"/>
  </si>
  <si>
    <t>BGF로지스화성</t>
  </si>
  <si>
    <t>BGF로지스곤지암</t>
  </si>
  <si>
    <t>BGF로지스칠곡</t>
  </si>
  <si>
    <t>BGF로지스부천</t>
    <phoneticPr fontId="2" type="noConversion"/>
  </si>
  <si>
    <t>BGF로지스양산</t>
  </si>
  <si>
    <t>ME90521LXS</t>
  </si>
  <si>
    <t>ME90521LXL</t>
  </si>
  <si>
    <t>립아이스 딸기 X 라인 (48입)</t>
    <phoneticPr fontId="10" type="noConversion"/>
  </si>
  <si>
    <t>립아이스 레몬 X 라인 (48입</t>
    <phoneticPr fontId="10" type="noConversion"/>
  </si>
  <si>
    <t>BGF로지스서귀포</t>
  </si>
  <si>
    <t>진천CDC</t>
  </si>
  <si>
    <t>BGF로지스제주</t>
  </si>
  <si>
    <t>납품일자</t>
    <phoneticPr fontId="2" type="noConversion"/>
  </si>
  <si>
    <t>멘소래담)온열마사지로션</t>
  </si>
  <si>
    <t>ME80421DR3</t>
  </si>
  <si>
    <t>행사가</t>
    <phoneticPr fontId="2" type="noConversion"/>
  </si>
  <si>
    <t>ME00421185</t>
    <phoneticPr fontId="10" type="noConversion"/>
  </si>
  <si>
    <t>ME00421300</t>
  </si>
  <si>
    <t>익스트림 스프레이180ml(핫타입-빨간색캔)</t>
  </si>
  <si>
    <t>유통기한</t>
    <phoneticPr fontId="2" type="noConversion"/>
  </si>
  <si>
    <t>%</t>
    <phoneticPr fontId="2" type="noConversion"/>
  </si>
  <si>
    <t>잔여일수</t>
    <phoneticPr fontId="2" type="noConversion"/>
  </si>
  <si>
    <t>유통일수</t>
    <phoneticPr fontId="2" type="noConversion"/>
  </si>
  <si>
    <t>납품기준</t>
    <phoneticPr fontId="2" type="noConversion"/>
  </si>
  <si>
    <t>80%까지 입고 가능</t>
    <phoneticPr fontId="2" type="noConversion"/>
  </si>
  <si>
    <t>유통기한 역순 입고 시 인수 거절 사유</t>
    <phoneticPr fontId="2" type="noConversion"/>
  </si>
  <si>
    <t>예를들어 25-12-13 상품 납품 후 25-12-10 상품 납품 될 경우 인수 거부할 수 있음</t>
    <phoneticPr fontId="2" type="noConversion"/>
  </si>
  <si>
    <t>납품 기준 미달 이슈 있을 시 담당 영업사원에게 필히 공유</t>
    <phoneticPr fontId="2" type="noConversion"/>
  </si>
  <si>
    <t>멘소)아크네스스팟패치</t>
  </si>
  <si>
    <t>ME00621CCP</t>
  </si>
  <si>
    <t>박스</t>
  </si>
  <si>
    <t>정상</t>
  </si>
  <si>
    <t>생산 일자(제조일)</t>
  </si>
  <si>
    <t>아니오</t>
  </si>
  <si>
    <t>공산품</t>
  </si>
  <si>
    <t>확정</t>
  </si>
  <si>
    <t>번호</t>
  </si>
  <si>
    <t>센터 코드</t>
  </si>
  <si>
    <t>납품원가</t>
  </si>
  <si>
    <t>센터별 입고 추천시간</t>
  </si>
  <si>
    <t>소비(유통)기한 관리여부</t>
  </si>
  <si>
    <t>소비(유통)기한표시방식</t>
  </si>
  <si>
    <t>소비(유통) 기한</t>
  </si>
  <si>
    <t>운송자 번호</t>
  </si>
  <si>
    <t>모바일운영구분</t>
  </si>
  <si>
    <t>최근입고소비(유통)기한</t>
  </si>
  <si>
    <t>처리 상태</t>
  </si>
  <si>
    <t>네</t>
  </si>
  <si>
    <t>OFF_LINE</t>
  </si>
  <si>
    <t>멘소)아크네스폼클렌저</t>
  </si>
  <si>
    <t>ME00621PCG</t>
    <phoneticPr fontId="2" type="noConversion"/>
  </si>
  <si>
    <t>990</t>
  </si>
  <si>
    <t>184</t>
  </si>
  <si>
    <t>20280831000000</t>
  </si>
  <si>
    <t>14</t>
  </si>
  <si>
    <t>20260325110000</t>
  </si>
  <si>
    <t>20281109150000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</si>
</sst>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176" formatCode="0_);[Red]\(0\)"/>
    <numFmt numFmtId="177" formatCode="0_ "/>
  </numFmts>
  <fonts count="21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b/>
      <sz val="9"/>
      <name val="맑은 고딕"/>
      <family val="3"/>
      <charset val="129"/>
      <scheme val="major"/>
    </font>
    <font>
      <sz val="8"/>
      <name val="돋움"/>
      <family val="3"/>
      <charset val="129"/>
    </font>
    <font>
      <sz val="9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sz val="10"/>
      <color indexed="8"/>
      <name val="맑은 고딕"/>
      <family val="3"/>
      <charset val="129"/>
    </font>
    <font>
      <b/>
      <sz val="9"/>
      <color theme="1"/>
      <name val="맑은 고딕"/>
      <family val="3"/>
      <charset val="129"/>
      <scheme val="minor"/>
    </font>
    <font>
      <sz val="10"/>
      <name val="돋움"/>
      <family val="3"/>
      <charset val="129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9"/>
      <color indexed="81"/>
      <name val="돋움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indexed="8"/>
      <name val="맑은 고딕"/>
      <family val="2"/>
      <scheme val="minor"/>
    </font>
    <font>
      <b/>
      <sz val="9"/>
      <color theme="0"/>
      <name val="맑은 고딕"/>
      <family val="3"/>
      <charset val="129"/>
      <scheme val="major"/>
    </font>
    <font>
      <sz val="10"/>
      <color indexed="8"/>
      <name val="함초롬돋움"/>
      <family val="3"/>
      <charset val="129"/>
    </font>
    <font>
      <sz val="10"/>
      <color indexed="8"/>
      <name val="맑은 고딕"/>
      <family val="3"/>
      <charset val="129"/>
      <scheme val="minor"/>
    </font>
    <font>
      <sz val="9"/>
      <color rgb="FF00B0F0"/>
      <name val="맑은 고딕"/>
      <family val="3"/>
      <charset val="129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indexed="9"/>
      </patternFill>
    </fill>
    <fill>
      <patternFill patternType="solid">
        <fgColor rgb="FFFFFF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00206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6">
    <xf numFmtId="0" fontId="0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6" fillId="0" borderId="0" applyFont="0" applyFill="0" applyBorder="0" applyAlignment="0" applyProtection="0">
      <alignment vertical="center"/>
    </xf>
  </cellStyleXfs>
  <cellXfs count="50">
    <xf numFmtId="0" fontId="0" fillId="0" borderId="0" xfId="0">
      <alignment vertical="center"/>
    </xf>
    <xf numFmtId="0" fontId="3" fillId="0" borderId="0" xfId="1" applyFont="1" applyAlignment="1">
      <alignment horizontal="center" vertical="center"/>
    </xf>
    <xf numFmtId="176" fontId="3" fillId="5" borderId="0" xfId="1" applyNumberFormat="1" applyFont="1" applyFill="1" applyAlignment="1">
      <alignment horizontal="center" vertical="center"/>
    </xf>
    <xf numFmtId="41" fontId="3" fillId="0" borderId="0" xfId="2" applyFont="1" applyAlignment="1">
      <alignment horizontal="center" vertical="center"/>
    </xf>
    <xf numFmtId="0" fontId="5" fillId="0" borderId="0" xfId="1" applyFont="1">
      <alignment vertical="center"/>
    </xf>
    <xf numFmtId="0" fontId="6" fillId="0" borderId="0" xfId="1" applyFont="1">
      <alignment vertical="center"/>
    </xf>
    <xf numFmtId="0" fontId="7" fillId="4" borderId="0" xfId="1" applyFont="1" applyFill="1" applyAlignment="1">
      <alignment horizontal="center" vertical="center"/>
    </xf>
    <xf numFmtId="176" fontId="6" fillId="5" borderId="0" xfId="1" applyNumberFormat="1" applyFont="1" applyFill="1">
      <alignment vertical="center"/>
    </xf>
    <xf numFmtId="41" fontId="6" fillId="0" borderId="0" xfId="2" applyFont="1">
      <alignment vertical="center"/>
    </xf>
    <xf numFmtId="0" fontId="8" fillId="0" borderId="0" xfId="1" applyFont="1">
      <alignment vertical="center"/>
    </xf>
    <xf numFmtId="0" fontId="6" fillId="4" borderId="0" xfId="1" applyFont="1" applyFill="1">
      <alignment vertical="center"/>
    </xf>
    <xf numFmtId="49" fontId="9" fillId="4" borderId="1" xfId="1" applyNumberFormat="1" applyFont="1" applyFill="1" applyBorder="1" applyAlignment="1">
      <alignment horizontal="center" vertical="center"/>
    </xf>
    <xf numFmtId="0" fontId="9" fillId="4" borderId="1" xfId="1" applyFont="1" applyFill="1" applyBorder="1" applyAlignment="1">
      <alignment horizontal="center" vertical="center"/>
    </xf>
    <xf numFmtId="0" fontId="11" fillId="0" borderId="0" xfId="1" applyFont="1">
      <alignment vertical="center"/>
    </xf>
    <xf numFmtId="177" fontId="12" fillId="0" borderId="1" xfId="1" applyNumberFormat="1" applyFont="1" applyBorder="1" applyAlignment="1">
      <alignment horizontal="center" vertical="center"/>
    </xf>
    <xf numFmtId="41" fontId="6" fillId="6" borderId="0" xfId="2" applyFont="1" applyFill="1">
      <alignment vertical="center"/>
    </xf>
    <xf numFmtId="0" fontId="6" fillId="6" borderId="0" xfId="1" applyFont="1" applyFill="1" applyAlignment="1">
      <alignment horizontal="center" vertical="center"/>
    </xf>
    <xf numFmtId="41" fontId="6" fillId="0" borderId="0" xfId="3" applyFont="1">
      <alignment vertical="center"/>
    </xf>
    <xf numFmtId="0" fontId="17" fillId="7" borderId="0" xfId="1" applyFont="1" applyFill="1" applyAlignment="1">
      <alignment horizontal="center" vertical="center"/>
    </xf>
    <xf numFmtId="41" fontId="17" fillId="7" borderId="0" xfId="3" applyFont="1" applyFill="1" applyAlignment="1">
      <alignment horizontal="center" vertical="center"/>
    </xf>
    <xf numFmtId="41" fontId="17" fillId="7" borderId="0" xfId="2" applyFont="1" applyFill="1" applyAlignment="1">
      <alignment horizontal="center" vertical="center"/>
    </xf>
    <xf numFmtId="0" fontId="6" fillId="6" borderId="0" xfId="4" applyFont="1" applyFill="1" applyAlignment="1">
      <alignment horizontal="center" vertical="center"/>
    </xf>
    <xf numFmtId="0" fontId="0" fillId="3" borderId="1" xfId="0" applyFill="1" applyBorder="1" applyAlignment="1">
      <alignment horizontal="left"/>
    </xf>
    <xf numFmtId="0" fontId="18" fillId="0" borderId="0" xfId="0" applyFont="1">
      <alignment vertical="center"/>
    </xf>
    <xf numFmtId="0" fontId="19" fillId="0" borderId="0" xfId="0" applyFont="1">
      <alignment vertical="center"/>
    </xf>
    <xf numFmtId="0" fontId="12" fillId="0" borderId="1" xfId="1" applyFont="1" applyBorder="1" applyAlignment="1">
      <alignment horizontal="center" vertical="center"/>
    </xf>
    <xf numFmtId="0" fontId="11" fillId="0" borderId="0" xfId="1" applyFont="1" applyAlignment="1">
      <alignment horizontal="center" vertical="center"/>
    </xf>
    <xf numFmtId="176" fontId="12" fillId="0" borderId="1" xfId="1" applyNumberFormat="1" applyFont="1" applyBorder="1" applyAlignment="1">
      <alignment horizontal="center" vertical="center"/>
    </xf>
    <xf numFmtId="41" fontId="9" fillId="4" borderId="1" xfId="3" applyFont="1" applyFill="1" applyBorder="1" applyAlignment="1">
      <alignment horizontal="center" vertical="center"/>
    </xf>
    <xf numFmtId="41" fontId="9" fillId="0" borderId="1" xfId="3" applyFont="1" applyBorder="1" applyAlignment="1">
      <alignment horizontal="center" vertical="center"/>
    </xf>
    <xf numFmtId="41" fontId="12" fillId="0" borderId="1" xfId="3" applyFont="1" applyBorder="1">
      <alignment vertical="center"/>
    </xf>
    <xf numFmtId="41" fontId="11" fillId="0" borderId="0" xfId="3" applyFont="1">
      <alignment vertical="center"/>
    </xf>
    <xf numFmtId="0" fontId="17" fillId="8" borderId="0" xfId="1" applyFont="1" applyFill="1" applyAlignment="1">
      <alignment horizontal="center" vertical="center"/>
    </xf>
    <xf numFmtId="176" fontId="0" fillId="3" borderId="1" xfId="0" applyNumberFormat="1" applyFill="1" applyBorder="1" applyAlignment="1">
      <alignment horizontal="left"/>
    </xf>
    <xf numFmtId="176" fontId="11" fillId="0" borderId="0" xfId="1" applyNumberFormat="1" applyFont="1">
      <alignment vertical="center"/>
    </xf>
    <xf numFmtId="176" fontId="6" fillId="4" borderId="0" xfId="1" applyNumberFormat="1" applyFont="1" applyFill="1">
      <alignment vertical="center"/>
    </xf>
    <xf numFmtId="176" fontId="0" fillId="0" borderId="0" xfId="0" applyNumberFormat="1">
      <alignment vertical="center"/>
    </xf>
    <xf numFmtId="3" fontId="11" fillId="0" borderId="0" xfId="1" applyNumberFormat="1" applyFont="1">
      <alignment vertical="center"/>
    </xf>
    <xf numFmtId="41" fontId="3" fillId="0" borderId="1" xfId="2" applyFont="1" applyBorder="1" applyAlignment="1">
      <alignment horizontal="center" vertical="center"/>
    </xf>
    <xf numFmtId="0" fontId="5" fillId="0" borderId="1" xfId="1" applyFont="1" applyBorder="1">
      <alignment vertical="center"/>
    </xf>
    <xf numFmtId="0" fontId="6" fillId="0" borderId="1" xfId="1" applyFont="1" applyBorder="1">
      <alignment vertical="center"/>
    </xf>
    <xf numFmtId="0" fontId="0" fillId="0" borderId="1" xfId="0" applyBorder="1">
      <alignment vertical="center"/>
    </xf>
    <xf numFmtId="14" fontId="0" fillId="0" borderId="1" xfId="0" applyNumberFormat="1" applyBorder="1">
      <alignment vertical="center"/>
    </xf>
    <xf numFmtId="41" fontId="20" fillId="0" borderId="0" xfId="2" applyFont="1">
      <alignment vertical="center"/>
    </xf>
    <xf numFmtId="0" fontId="20" fillId="0" borderId="0" xfId="1" applyFont="1">
      <alignment vertical="center"/>
    </xf>
    <xf numFmtId="9" fontId="0" fillId="0" borderId="1" xfId="5" applyFont="1" applyBorder="1">
      <alignment vertical="center"/>
    </xf>
    <xf numFmtId="0" fontId="0" fillId="3" borderId="3" xfId="0" applyFill="1" applyBorder="1" applyAlignment="1">
      <alignment horizontal="left"/>
    </xf>
    <xf numFmtId="0" fontId="0" fillId="3" borderId="2" xfId="0" applyFill="1" applyBorder="1" applyAlignment="1">
      <alignment horizontal="left"/>
    </xf>
    <xf numFmtId="0" fontId="0" fillId="2" borderId="1" xfId="0" applyFill="1" applyBorder="1">
      <alignment vertical="center"/>
    </xf>
    <xf numFmtId="0" fontId="0" fillId="2" borderId="1" xfId="0" applyFill="1" applyBorder="1" applyAlignment="1">
      <alignment horizontal="center" vertical="center"/>
    </xf>
  </cellXfs>
  <cellStyles count="6">
    <cellStyle name="백분율" xfId="5" builtinId="5"/>
    <cellStyle name="쉼표 [0]" xfId="3" builtinId="6"/>
    <cellStyle name="쉼표 [0] 2" xfId="2" xr:uid="{00000000-0005-0000-0000-000002000000}"/>
    <cellStyle name="표준" xfId="0" builtinId="0"/>
    <cellStyle name="표준 2" xfId="1" xr:uid="{00000000-0005-0000-0000-000004000000}"/>
    <cellStyle name="표준 2 11 2 10 2 2" xfId="4" xr:uid="{00000000-0005-0000-0000-000005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60"/>
  <sheetViews>
    <sheetView zoomScaleNormal="100" workbookViewId="0">
      <selection activeCell="A2" sqref="A2:XFD3"/>
    </sheetView>
  </sheetViews>
  <sheetFormatPr defaultRowHeight="17.399999999999999"/>
  <cols>
    <col min="1" max="1" width="4.296875" bestFit="1" customWidth="1"/>
    <col min="2" max="2" width="16.69921875" bestFit="1" customWidth="1"/>
    <col min="3" max="3" width="19.796875" style="36" bestFit="1" customWidth="1"/>
    <col min="4" max="4" width="24.09765625" bestFit="1" customWidth="1"/>
    <col min="5" max="8" width="17.5" style="36" bestFit="1" customWidth="1"/>
    <col min="9" max="9" width="7.09765625" bestFit="1" customWidth="1"/>
    <col min="10" max="11" width="9" bestFit="1" customWidth="1"/>
    <col min="12" max="12" width="13" bestFit="1" customWidth="1"/>
    <col min="13" max="14" width="9" bestFit="1" customWidth="1"/>
    <col min="15" max="15" width="6.796875" bestFit="1" customWidth="1"/>
    <col min="16" max="16" width="18" bestFit="1" customWidth="1"/>
    <col min="17" max="17" width="17.19921875" bestFit="1" customWidth="1"/>
    <col min="18" max="18" width="10.59765625" bestFit="1" customWidth="1"/>
    <col min="19" max="19" width="17.19921875" bestFit="1" customWidth="1"/>
    <col min="20" max="22" width="9.59765625" bestFit="1" customWidth="1"/>
    <col min="23" max="23" width="7.09765625" bestFit="1" customWidth="1"/>
    <col min="24" max="24" width="11.59765625" bestFit="1" customWidth="1"/>
    <col min="25" max="25" width="9" bestFit="1" customWidth="1"/>
    <col min="26" max="26" width="14" bestFit="1" customWidth="1"/>
    <col min="27" max="27" width="7.09765625" bestFit="1" customWidth="1"/>
    <col min="28" max="28" width="5.19921875" bestFit="1" customWidth="1"/>
  </cols>
  <sheetData>
    <row r="1" spans="1:32">
      <c r="A1" s="48" t="s">
        <v>117</v>
      </c>
      <c r="B1" s="48" t="s">
        <v>118</v>
      </c>
      <c r="C1" s="48" t="s">
        <v>0</v>
      </c>
      <c r="D1" s="48" t="s">
        <v>1</v>
      </c>
      <c r="E1" s="48" t="s">
        <v>2</v>
      </c>
      <c r="F1" s="48" t="s">
        <v>119</v>
      </c>
      <c r="G1" s="48" t="s">
        <v>3</v>
      </c>
      <c r="H1" s="48" t="s">
        <v>5</v>
      </c>
      <c r="I1" s="48" t="s">
        <v>120</v>
      </c>
      <c r="J1" s="48" t="s">
        <v>4</v>
      </c>
      <c r="K1" s="48" t="s">
        <v>6</v>
      </c>
      <c r="L1" s="48" t="s">
        <v>7</v>
      </c>
      <c r="M1" s="48" t="s">
        <v>8</v>
      </c>
      <c r="N1" s="48" t="s">
        <v>10</v>
      </c>
      <c r="O1" s="48" t="s">
        <v>71</v>
      </c>
      <c r="P1" s="48" t="s">
        <v>9</v>
      </c>
      <c r="Q1" s="48" t="s">
        <v>11</v>
      </c>
      <c r="R1" s="48" t="s">
        <v>12</v>
      </c>
      <c r="S1" s="49" t="s">
        <v>121</v>
      </c>
      <c r="T1" s="49" t="s">
        <v>122</v>
      </c>
      <c r="U1" s="49" t="s">
        <v>123</v>
      </c>
      <c r="V1" s="49" t="s">
        <v>13</v>
      </c>
      <c r="W1" s="49" t="s">
        <v>14</v>
      </c>
      <c r="X1" s="49" t="s">
        <v>15</v>
      </c>
      <c r="Y1" s="49" t="s">
        <v>16</v>
      </c>
      <c r="Z1" s="49" t="s">
        <v>17</v>
      </c>
      <c r="AA1" s="49" t="s">
        <v>124</v>
      </c>
      <c r="AB1" s="48" t="s">
        <v>18</v>
      </c>
      <c r="AC1" s="48" t="s">
        <v>125</v>
      </c>
      <c r="AD1" s="48" t="s">
        <v>126</v>
      </c>
      <c r="AE1" s="48" t="s">
        <v>127</v>
      </c>
      <c r="AF1" s="48" t="s">
        <v>19</v>
      </c>
    </row>
    <row r="2" spans="1:32">
      <c r="A2" s="22"/>
      <c r="B2" s="22" t="s">
        <v>132</v>
      </c>
      <c r="C2" s="22" t="s">
        <v>91</v>
      </c>
      <c r="D2" s="22">
        <v>8809020343744</v>
      </c>
      <c r="E2" s="22" t="s">
        <v>109</v>
      </c>
      <c r="F2" s="22">
        <v>1364</v>
      </c>
      <c r="G2" s="22" t="s">
        <v>136</v>
      </c>
      <c r="H2" s="22" t="s">
        <v>136</v>
      </c>
      <c r="I2" s="22"/>
      <c r="J2" s="22" t="s">
        <v>136</v>
      </c>
      <c r="K2" s="22" t="s">
        <v>136</v>
      </c>
      <c r="L2" s="22">
        <v>80</v>
      </c>
      <c r="M2" s="22">
        <v>80</v>
      </c>
      <c r="N2" s="22">
        <v>40</v>
      </c>
      <c r="O2" s="22" t="s">
        <v>111</v>
      </c>
      <c r="P2" s="22">
        <v>2</v>
      </c>
      <c r="Q2" s="22" t="s">
        <v>135</v>
      </c>
      <c r="R2" s="22" t="s">
        <v>112</v>
      </c>
      <c r="S2" s="22" t="s">
        <v>128</v>
      </c>
      <c r="T2" s="22" t="s">
        <v>113</v>
      </c>
      <c r="U2" s="22"/>
      <c r="V2" s="22"/>
      <c r="W2" s="22" t="s">
        <v>114</v>
      </c>
      <c r="X2" s="22"/>
      <c r="Y2" s="22"/>
      <c r="Z2" s="22"/>
      <c r="AA2" s="22"/>
      <c r="AB2" s="22" t="s">
        <v>115</v>
      </c>
      <c r="AC2" s="22" t="s">
        <v>129</v>
      </c>
      <c r="AD2" s="22" t="s">
        <v>137</v>
      </c>
      <c r="AE2" s="22" t="s">
        <v>116</v>
      </c>
      <c r="AF2" s="22" t="s">
        <v>116</v>
      </c>
    </row>
    <row r="3" spans="1:32">
      <c r="A3" s="22"/>
      <c r="B3" s="22" t="s">
        <v>132</v>
      </c>
      <c r="C3" s="22" t="s">
        <v>91</v>
      </c>
      <c r="D3" s="22">
        <v>8809020345212</v>
      </c>
      <c r="E3" s="22" t="s">
        <v>21</v>
      </c>
      <c r="F3" s="22">
        <v>2303</v>
      </c>
      <c r="G3" s="22" t="s">
        <v>136</v>
      </c>
      <c r="H3" s="22" t="s">
        <v>136</v>
      </c>
      <c r="I3" s="22"/>
      <c r="J3" s="22" t="s">
        <v>136</v>
      </c>
      <c r="K3" s="22" t="s">
        <v>136</v>
      </c>
      <c r="L3" s="22">
        <v>432</v>
      </c>
      <c r="M3" s="22">
        <v>432</v>
      </c>
      <c r="N3" s="22">
        <v>16</v>
      </c>
      <c r="O3" s="22" t="s">
        <v>111</v>
      </c>
      <c r="P3" s="22">
        <v>27</v>
      </c>
      <c r="Q3" s="22" t="s">
        <v>133</v>
      </c>
      <c r="R3" s="22" t="s">
        <v>112</v>
      </c>
      <c r="S3" s="22" t="s">
        <v>128</v>
      </c>
      <c r="T3" s="22" t="s">
        <v>113</v>
      </c>
      <c r="U3" s="22"/>
      <c r="V3" s="22"/>
      <c r="W3" s="22" t="s">
        <v>114</v>
      </c>
      <c r="X3" s="22"/>
      <c r="Y3" s="22"/>
      <c r="Z3" s="22"/>
      <c r="AA3" s="22"/>
      <c r="AB3" s="22" t="s">
        <v>115</v>
      </c>
      <c r="AC3" s="22" t="s">
        <v>129</v>
      </c>
      <c r="AD3" s="22" t="s">
        <v>134</v>
      </c>
      <c r="AE3" s="22" t="s">
        <v>116</v>
      </c>
      <c r="AF3" s="22" t="s">
        <v>116</v>
      </c>
    </row>
    <row r="4" spans="1:3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</row>
    <row r="5" spans="1:32">
      <c r="A5" s="22"/>
      <c r="B5" s="22"/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</row>
    <row r="6" spans="1:32">
      <c r="C6"/>
      <c r="E6"/>
      <c r="F6"/>
      <c r="G6"/>
      <c r="H6"/>
    </row>
    <row r="7" spans="1:32">
      <c r="C7"/>
      <c r="E7"/>
      <c r="F7"/>
      <c r="G7"/>
      <c r="H7"/>
    </row>
    <row r="8" spans="1:32">
      <c r="C8"/>
      <c r="E8"/>
      <c r="F8"/>
      <c r="G8"/>
      <c r="H8"/>
    </row>
    <row r="9" spans="1:32" s="41" customFormat="1">
      <c r="A9" s="22"/>
      <c r="B9"/>
      <c r="C9"/>
      <c r="D9"/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 spans="1:32" s="41" customFormat="1">
      <c r="A10" s="22"/>
      <c r="B10"/>
      <c r="C10"/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 spans="1:32" s="41" customFormat="1">
      <c r="A11" s="22"/>
      <c r="B11"/>
      <c r="C11"/>
      <c r="D11"/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 spans="1:32">
      <c r="A12" s="46"/>
      <c r="C12"/>
      <c r="E12"/>
      <c r="F12"/>
      <c r="G12"/>
      <c r="H12"/>
    </row>
    <row r="13" spans="1:32">
      <c r="A13" s="22"/>
      <c r="C13"/>
      <c r="E13"/>
      <c r="F13"/>
      <c r="G13"/>
      <c r="H13"/>
    </row>
    <row r="14" spans="1:32">
      <c r="A14" s="22"/>
      <c r="C14"/>
      <c r="E14"/>
      <c r="F14"/>
      <c r="G14"/>
      <c r="H14"/>
    </row>
    <row r="15" spans="1:32">
      <c r="A15" s="22"/>
      <c r="C15"/>
      <c r="E15"/>
      <c r="F15"/>
      <c r="G15"/>
      <c r="H15"/>
    </row>
    <row r="16" spans="1:32">
      <c r="A16" s="22"/>
      <c r="C16"/>
      <c r="E16"/>
      <c r="F16"/>
      <c r="G16"/>
      <c r="H16"/>
    </row>
    <row r="17" spans="1:32">
      <c r="A17" s="22"/>
      <c r="C17"/>
      <c r="E17"/>
      <c r="F17"/>
      <c r="G17"/>
      <c r="H17"/>
    </row>
    <row r="18" spans="1:32">
      <c r="A18" s="22"/>
      <c r="C18"/>
      <c r="E18"/>
      <c r="F18"/>
      <c r="G18"/>
      <c r="H18"/>
    </row>
    <row r="19" spans="1:32">
      <c r="A19" s="47"/>
      <c r="C19"/>
      <c r="E19"/>
      <c r="F19"/>
      <c r="G19"/>
      <c r="H19"/>
    </row>
    <row r="20" spans="1:32" s="41" customFormat="1">
      <c r="A20" s="22"/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</row>
    <row r="21" spans="1:32" s="41" customFormat="1">
      <c r="A21" s="22"/>
      <c r="B21"/>
      <c r="C21"/>
      <c r="D21"/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</row>
    <row r="22" spans="1:32" s="41" customFormat="1"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</row>
    <row r="23" spans="1:32" s="41" customFormat="1">
      <c r="A23" s="22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</row>
    <row r="24" spans="1:32" s="41" customFormat="1">
      <c r="A24" s="22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</row>
    <row r="25" spans="1:32" s="41" customFormat="1">
      <c r="A25" s="22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 spans="1:32" s="41" customFormat="1">
      <c r="A26" s="22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 spans="1:32">
      <c r="A27" s="46"/>
      <c r="C27"/>
      <c r="E27"/>
      <c r="F27"/>
      <c r="G27"/>
      <c r="H27"/>
    </row>
    <row r="28" spans="1:32">
      <c r="A28" s="22"/>
      <c r="C28"/>
      <c r="E28"/>
      <c r="F28"/>
      <c r="G28"/>
      <c r="H28"/>
    </row>
    <row r="29" spans="1:32">
      <c r="A29" s="22"/>
      <c r="C29"/>
      <c r="E29"/>
      <c r="F29"/>
      <c r="G29"/>
      <c r="H29"/>
    </row>
    <row r="30" spans="1:32">
      <c r="A30" s="22"/>
      <c r="B30" s="22"/>
      <c r="C30" s="33"/>
      <c r="D30" s="22"/>
      <c r="E30" s="33"/>
      <c r="F30" s="33"/>
      <c r="G30" s="33"/>
      <c r="H30" s="33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</row>
    <row r="31" spans="1:32">
      <c r="A31" s="22"/>
      <c r="B31" s="22"/>
      <c r="C31" s="33"/>
      <c r="D31" s="22"/>
      <c r="E31" s="33"/>
      <c r="F31" s="33"/>
      <c r="G31" s="33"/>
      <c r="H31" s="33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</row>
    <row r="32" spans="1:32">
      <c r="A32" s="22"/>
      <c r="B32" s="22"/>
      <c r="C32" s="33"/>
      <c r="D32" s="22"/>
      <c r="E32" s="33"/>
      <c r="F32" s="33"/>
      <c r="G32" s="33"/>
      <c r="H32" s="33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</row>
    <row r="33" spans="1:28">
      <c r="A33" s="22"/>
      <c r="B33" s="22"/>
      <c r="C33" s="33"/>
      <c r="D33" s="22"/>
      <c r="E33" s="33"/>
      <c r="F33" s="33"/>
      <c r="G33" s="33"/>
      <c r="H33" s="33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</row>
    <row r="34" spans="1:28">
      <c r="A34" s="22"/>
      <c r="B34" s="22"/>
      <c r="C34" s="33"/>
      <c r="D34" s="22"/>
      <c r="E34" s="33"/>
      <c r="F34" s="33"/>
      <c r="G34" s="33"/>
      <c r="H34" s="33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</row>
    <row r="35" spans="1:28">
      <c r="A35" s="22"/>
      <c r="B35" s="22"/>
      <c r="C35" s="33"/>
      <c r="D35" s="22"/>
      <c r="E35" s="33"/>
      <c r="F35" s="33"/>
      <c r="G35" s="33"/>
      <c r="H35" s="33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</row>
    <row r="36" spans="1:28">
      <c r="A36" s="22"/>
      <c r="B36" s="22"/>
      <c r="C36" s="33"/>
      <c r="D36" s="22"/>
      <c r="E36" s="33"/>
      <c r="F36" s="33"/>
      <c r="G36" s="33"/>
      <c r="H36" s="33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</row>
    <row r="37" spans="1:28">
      <c r="A37" s="22"/>
      <c r="B37" s="22"/>
      <c r="C37" s="33"/>
      <c r="D37" s="22"/>
      <c r="E37" s="33"/>
      <c r="F37" s="33"/>
      <c r="G37" s="33"/>
      <c r="H37" s="33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</row>
    <row r="38" spans="1:28">
      <c r="A38" s="22"/>
      <c r="B38" s="22"/>
      <c r="C38" s="33"/>
      <c r="D38" s="22"/>
      <c r="E38" s="33"/>
      <c r="F38" s="33"/>
      <c r="G38" s="33"/>
      <c r="H38" s="33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</row>
    <row r="39" spans="1:28">
      <c r="A39" s="22"/>
      <c r="B39" s="22"/>
      <c r="C39" s="33"/>
      <c r="D39" s="22"/>
      <c r="E39" s="33"/>
      <c r="F39" s="33"/>
      <c r="G39" s="33"/>
      <c r="H39" s="33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</row>
    <row r="40" spans="1:28">
      <c r="A40" s="22"/>
      <c r="B40" s="22"/>
      <c r="C40" s="33"/>
      <c r="D40" s="22"/>
      <c r="E40" s="33"/>
      <c r="F40" s="33"/>
      <c r="G40" s="33"/>
      <c r="H40" s="33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</row>
    <row r="41" spans="1:28">
      <c r="A41" s="22"/>
      <c r="B41" s="22"/>
      <c r="C41" s="33"/>
      <c r="D41" s="22"/>
      <c r="E41" s="33"/>
      <c r="F41" s="33"/>
      <c r="G41" s="33"/>
      <c r="H41" s="33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</row>
    <row r="42" spans="1:28">
      <c r="A42" s="22"/>
      <c r="B42" s="22"/>
      <c r="C42" s="33"/>
      <c r="D42" s="22"/>
      <c r="E42" s="33"/>
      <c r="F42" s="33"/>
      <c r="G42" s="33"/>
      <c r="H42" s="33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</row>
    <row r="43" spans="1:28">
      <c r="A43" s="22"/>
      <c r="B43" s="22"/>
      <c r="C43" s="33"/>
      <c r="D43" s="22"/>
      <c r="E43" s="33"/>
      <c r="F43" s="33"/>
      <c r="G43" s="33"/>
      <c r="H43" s="33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</row>
    <row r="44" spans="1:28">
      <c r="A44" s="22"/>
      <c r="B44" s="22"/>
      <c r="C44" s="33"/>
      <c r="D44" s="22"/>
      <c r="E44" s="33"/>
      <c r="F44" s="33"/>
      <c r="G44" s="33"/>
      <c r="H44" s="33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</row>
    <row r="45" spans="1:28">
      <c r="A45" s="22"/>
      <c r="B45" s="22"/>
      <c r="C45" s="33"/>
      <c r="D45" s="22"/>
      <c r="E45" s="33"/>
      <c r="F45" s="33"/>
      <c r="G45" s="33"/>
      <c r="H45" s="33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</row>
    <row r="46" spans="1:28">
      <c r="A46" s="22"/>
      <c r="B46" s="22"/>
      <c r="C46" s="33"/>
      <c r="D46" s="22"/>
      <c r="E46" s="33"/>
      <c r="F46" s="33"/>
      <c r="G46" s="33"/>
      <c r="H46" s="33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</row>
    <row r="47" spans="1:28">
      <c r="A47" s="22"/>
      <c r="B47" s="22"/>
      <c r="C47" s="33"/>
      <c r="D47" s="22"/>
      <c r="E47" s="33"/>
      <c r="F47" s="33"/>
      <c r="G47" s="33"/>
      <c r="H47" s="33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</row>
    <row r="48" spans="1:28">
      <c r="A48" s="22"/>
      <c r="B48" s="22"/>
      <c r="C48" s="33"/>
      <c r="D48" s="22"/>
      <c r="E48" s="33"/>
      <c r="F48" s="33"/>
      <c r="G48" s="33"/>
      <c r="H48" s="33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</row>
    <row r="49" spans="1:28">
      <c r="A49" s="22"/>
      <c r="B49" s="22"/>
      <c r="C49" s="33"/>
      <c r="D49" s="22"/>
      <c r="E49" s="33"/>
      <c r="F49" s="33"/>
      <c r="G49" s="33"/>
      <c r="H49" s="33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</row>
    <row r="50" spans="1:28">
      <c r="A50" s="22"/>
      <c r="B50" s="22"/>
      <c r="C50" s="33"/>
      <c r="D50" s="22"/>
      <c r="E50" s="33"/>
      <c r="F50" s="33"/>
      <c r="G50" s="33"/>
      <c r="H50" s="33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</row>
    <row r="51" spans="1:28">
      <c r="A51" s="22"/>
      <c r="B51" s="22"/>
      <c r="C51" s="33"/>
      <c r="D51" s="22"/>
      <c r="E51" s="33"/>
      <c r="F51" s="33"/>
      <c r="G51" s="33"/>
      <c r="H51" s="33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</row>
    <row r="52" spans="1:28">
      <c r="A52" s="22"/>
      <c r="B52" s="22"/>
      <c r="C52" s="33"/>
      <c r="D52" s="22"/>
      <c r="E52" s="33"/>
      <c r="F52" s="33"/>
      <c r="G52" s="33"/>
      <c r="H52" s="33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</row>
    <row r="53" spans="1:28">
      <c r="A53" s="22"/>
      <c r="B53" s="22"/>
      <c r="C53" s="33"/>
      <c r="D53" s="22"/>
      <c r="E53" s="33"/>
      <c r="F53" s="33"/>
      <c r="G53" s="33"/>
      <c r="H53" s="33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</row>
    <row r="54" spans="1:28">
      <c r="A54" s="22"/>
      <c r="B54" s="22"/>
      <c r="C54" s="33"/>
      <c r="D54" s="22"/>
      <c r="E54" s="33"/>
      <c r="F54" s="33"/>
      <c r="G54" s="33"/>
      <c r="H54" s="33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</row>
    <row r="55" spans="1:28">
      <c r="A55" s="22"/>
      <c r="B55" s="22"/>
      <c r="C55" s="33"/>
      <c r="D55" s="22"/>
      <c r="E55" s="33"/>
      <c r="F55" s="33"/>
      <c r="G55" s="33"/>
      <c r="H55" s="33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</row>
    <row r="56" spans="1:28">
      <c r="A56" s="22"/>
      <c r="B56" s="22"/>
      <c r="C56" s="33"/>
      <c r="D56" s="22"/>
      <c r="E56" s="33"/>
      <c r="F56" s="33"/>
      <c r="G56" s="33"/>
      <c r="H56" s="33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</row>
    <row r="57" spans="1:28">
      <c r="A57" s="22"/>
      <c r="B57" s="22"/>
      <c r="C57" s="33"/>
      <c r="D57" s="22"/>
      <c r="E57" s="33"/>
      <c r="F57" s="33"/>
      <c r="G57" s="33"/>
      <c r="H57" s="33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</row>
    <row r="58" spans="1:28">
      <c r="A58" s="22"/>
      <c r="B58" s="22"/>
      <c r="C58" s="33"/>
      <c r="D58" s="22"/>
      <c r="E58" s="33"/>
      <c r="F58" s="33"/>
      <c r="G58" s="33"/>
      <c r="H58" s="33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  <c r="AB58" s="22"/>
    </row>
    <row r="59" spans="1:28">
      <c r="A59" s="22"/>
      <c r="B59" s="22"/>
      <c r="C59" s="33"/>
      <c r="D59" s="22"/>
      <c r="E59" s="33"/>
      <c r="F59" s="33"/>
      <c r="G59" s="33"/>
      <c r="H59" s="33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  <c r="AB59" s="22"/>
    </row>
    <row r="60" spans="1:28">
      <c r="A60" s="22"/>
      <c r="B60" s="22"/>
      <c r="C60" s="33"/>
      <c r="D60" s="22"/>
      <c r="E60" s="33"/>
      <c r="F60" s="33"/>
      <c r="G60" s="33"/>
      <c r="H60" s="33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  <c r="AB60" s="22"/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A1:Q182"/>
  <sheetViews>
    <sheetView tabSelected="1" zoomScale="115" zoomScaleNormal="115" workbookViewId="0">
      <pane ySplit="1" topLeftCell="A2" activePane="bottomLeft" state="frozen"/>
      <selection activeCell="E16" sqref="E16"/>
      <selection pane="bottomLeft" activeCell="I2" sqref="I2:J3"/>
    </sheetView>
  </sheetViews>
  <sheetFormatPr defaultColWidth="9" defaultRowHeight="13.2"/>
  <cols>
    <col min="1" max="1" width="13.59765625" style="10" customWidth="1"/>
    <col min="2" max="2" width="11.59765625" style="5" bestFit="1" customWidth="1"/>
    <col min="3" max="3" width="11.5" style="10" bestFit="1" customWidth="1"/>
    <col min="4" max="4" width="18.796875" style="5" bestFit="1" customWidth="1"/>
    <col min="5" max="5" width="12" style="10" bestFit="1" customWidth="1"/>
    <col min="6" max="6" width="13.69921875" style="7" customWidth="1"/>
    <col min="7" max="7" width="11.69921875" style="16" bestFit="1" customWidth="1"/>
    <col min="8" max="8" width="18.69921875" style="16" bestFit="1" customWidth="1"/>
    <col min="9" max="9" width="9.69921875" style="17" bestFit="1" customWidth="1"/>
    <col min="10" max="10" width="12.69921875" style="15" bestFit="1" customWidth="1"/>
    <col min="11" max="11" width="20.5" style="8" bestFit="1" customWidth="1"/>
    <col min="12" max="12" width="20.5" style="8" customWidth="1"/>
    <col min="13" max="13" width="8.69921875" style="8" bestFit="1" customWidth="1"/>
    <col min="14" max="14" width="7.5" style="4" bestFit="1" customWidth="1"/>
    <col min="15" max="15" width="7.5" style="5" bestFit="1" customWidth="1"/>
    <col min="16" max="16" width="11.09765625" style="5" customWidth="1"/>
    <col min="17" max="16384" width="9" style="5"/>
  </cols>
  <sheetData>
    <row r="1" spans="1:17">
      <c r="A1" s="32" t="s">
        <v>93</v>
      </c>
      <c r="B1" s="1" t="s">
        <v>26</v>
      </c>
      <c r="C1" s="18" t="s">
        <v>27</v>
      </c>
      <c r="D1" s="1" t="s">
        <v>28</v>
      </c>
      <c r="E1" s="18" t="s">
        <v>29</v>
      </c>
      <c r="F1" s="2" t="s">
        <v>30</v>
      </c>
      <c r="G1" s="18" t="s">
        <v>32</v>
      </c>
      <c r="H1" s="1" t="s">
        <v>31</v>
      </c>
      <c r="I1" s="19" t="s">
        <v>33</v>
      </c>
      <c r="J1" s="20" t="s">
        <v>34</v>
      </c>
      <c r="K1" s="3" t="s">
        <v>35</v>
      </c>
      <c r="L1" s="3"/>
      <c r="M1" s="38" t="s">
        <v>100</v>
      </c>
      <c r="N1" s="39" t="s">
        <v>102</v>
      </c>
      <c r="O1" s="40" t="s">
        <v>103</v>
      </c>
      <c r="P1" s="40" t="s">
        <v>101</v>
      </c>
    </row>
    <row r="2" spans="1:17" ht="17.399999999999999">
      <c r="A2" s="10" t="str">
        <f>DATA!G2</f>
        <v>20260325110000</v>
      </c>
      <c r="B2" s="5" t="str">
        <f>DATA!C2</f>
        <v>진천CDC</v>
      </c>
      <c r="C2" s="6">
        <f>VLOOKUP(B2,점포명!B:C,2,0)</f>
        <v>82032027</v>
      </c>
      <c r="D2" s="5" t="str">
        <f>DATA!C2</f>
        <v>진천CDC</v>
      </c>
      <c r="E2" s="6">
        <f>VLOOKUP(D2,점포명!B:C,2,0)</f>
        <v>82032027</v>
      </c>
      <c r="F2" s="7">
        <f>DATA!D2</f>
        <v>8809020343744</v>
      </c>
      <c r="G2" s="16" t="str">
        <f>VLOOKUP(F2,제품코드!A:C,2,0)</f>
        <v>ME00621CCP</v>
      </c>
      <c r="H2" s="21" t="str">
        <f>DATA!E2</f>
        <v>멘소)아크네스스팟패치</v>
      </c>
      <c r="I2" s="17">
        <f>DATA!L2</f>
        <v>80</v>
      </c>
      <c r="J2" s="15">
        <f>VLOOKUP(G2,제품코드!B:D,3,0)</f>
        <v>1364</v>
      </c>
      <c r="K2" s="8">
        <f>I2*J2</f>
        <v>109120</v>
      </c>
      <c r="M2" s="41"/>
      <c r="N2" s="42">
        <f ca="1">M2-TODAY()</f>
        <v>-46105</v>
      </c>
      <c r="O2" s="41">
        <f>365*3</f>
        <v>1095</v>
      </c>
      <c r="P2" s="45">
        <f ca="1">N2/O2</f>
        <v>-42.105022831050228</v>
      </c>
      <c r="Q2"/>
    </row>
    <row r="3" spans="1:17" ht="17.399999999999999">
      <c r="A3" s="10" t="str">
        <f>DATA!G3</f>
        <v>20260325110000</v>
      </c>
      <c r="B3" s="5" t="str">
        <f>DATA!C3</f>
        <v>진천CDC</v>
      </c>
      <c r="C3" s="6">
        <f>VLOOKUP(B3,점포명!B:C,2,0)</f>
        <v>82032027</v>
      </c>
      <c r="D3" s="5" t="str">
        <f>DATA!C3</f>
        <v>진천CDC</v>
      </c>
      <c r="E3" s="6">
        <f>VLOOKUP(D3,점포명!B:C,2,0)</f>
        <v>82032027</v>
      </c>
      <c r="F3" s="7">
        <f>DATA!D3</f>
        <v>8809020345212</v>
      </c>
      <c r="G3" s="16" t="str">
        <f>VLOOKUP(F3,제품코드!A:C,2,0)</f>
        <v>ME00421185</v>
      </c>
      <c r="H3" s="21" t="str">
        <f>DATA!E3</f>
        <v>멘소래담)스프레이쿨타입</v>
      </c>
      <c r="I3" s="17">
        <f>DATA!L3</f>
        <v>432</v>
      </c>
      <c r="J3" s="15">
        <f>VLOOKUP(G3,제품코드!B:D,3,0)</f>
        <v>2303</v>
      </c>
      <c r="K3" s="8">
        <f t="shared" ref="K3:K12" si="0">I3*J3</f>
        <v>994896</v>
      </c>
      <c r="M3" s="41"/>
      <c r="N3" s="42">
        <f t="shared" ref="N3:N5" ca="1" si="1">M3-TODAY()</f>
        <v>-46105</v>
      </c>
      <c r="O3" s="41">
        <f t="shared" ref="O3:O5" si="2">365*3</f>
        <v>1095</v>
      </c>
      <c r="P3" s="45">
        <f t="shared" ref="P3:P5" ca="1" si="3">N3/O3</f>
        <v>-42.105022831050228</v>
      </c>
      <c r="Q3"/>
    </row>
    <row r="4" spans="1:17" ht="17.399999999999999">
      <c r="A4" s="10">
        <f>DATA!G4</f>
        <v>0</v>
      </c>
      <c r="B4" s="5">
        <f>DATA!C4</f>
        <v>0</v>
      </c>
      <c r="C4" s="6" t="e">
        <f>VLOOKUP(B4,점포명!B:C,2,0)</f>
        <v>#N/A</v>
      </c>
      <c r="D4" s="5">
        <f>DATA!C4</f>
        <v>0</v>
      </c>
      <c r="E4" s="6" t="e">
        <f>VLOOKUP(D4,점포명!B:C,2,0)</f>
        <v>#N/A</v>
      </c>
      <c r="F4" s="7">
        <f>DATA!D4</f>
        <v>0</v>
      </c>
      <c r="G4" s="16" t="e">
        <f>VLOOKUP(F4,제품코드!A:C,2,0)</f>
        <v>#N/A</v>
      </c>
      <c r="H4" s="21">
        <f>DATA!E4</f>
        <v>0</v>
      </c>
      <c r="I4" s="17">
        <f>DATA!L4</f>
        <v>0</v>
      </c>
      <c r="J4" s="15" t="e">
        <f>VLOOKUP(G4,제품코드!B:D,3,0)</f>
        <v>#N/A</v>
      </c>
      <c r="K4" s="8" t="e">
        <f t="shared" si="0"/>
        <v>#N/A</v>
      </c>
      <c r="M4" s="41"/>
      <c r="N4" s="42">
        <f t="shared" ca="1" si="1"/>
        <v>-46105</v>
      </c>
      <c r="O4" s="41">
        <f t="shared" si="2"/>
        <v>1095</v>
      </c>
      <c r="P4" s="45">
        <f t="shared" ca="1" si="3"/>
        <v>-42.105022831050228</v>
      </c>
      <c r="Q4"/>
    </row>
    <row r="5" spans="1:17" ht="17.399999999999999">
      <c r="A5" s="10">
        <f>DATA!G5</f>
        <v>0</v>
      </c>
      <c r="B5" s="5">
        <f>DATA!C5</f>
        <v>0</v>
      </c>
      <c r="C5" s="6" t="e">
        <f>VLOOKUP(B5,점포명!B:C,2,0)</f>
        <v>#N/A</v>
      </c>
      <c r="D5" s="5">
        <f>DATA!C5</f>
        <v>0</v>
      </c>
      <c r="E5" s="6" t="e">
        <f>VLOOKUP(D5,점포명!B:C,2,0)</f>
        <v>#N/A</v>
      </c>
      <c r="F5" s="7">
        <f>DATA!D5</f>
        <v>0</v>
      </c>
      <c r="G5" s="16" t="e">
        <f>VLOOKUP(F5,제품코드!A:C,2,0)</f>
        <v>#N/A</v>
      </c>
      <c r="H5" s="21">
        <f>DATA!E5</f>
        <v>0</v>
      </c>
      <c r="I5" s="17">
        <f>DATA!L5</f>
        <v>0</v>
      </c>
      <c r="J5" s="15" t="e">
        <f>VLOOKUP(G5,제품코드!B:D,3,0)</f>
        <v>#N/A</v>
      </c>
      <c r="K5" s="8" t="e">
        <f t="shared" si="0"/>
        <v>#N/A</v>
      </c>
      <c r="M5" s="41"/>
      <c r="N5" s="42">
        <f t="shared" ca="1" si="1"/>
        <v>-46105</v>
      </c>
      <c r="O5" s="41">
        <f t="shared" si="2"/>
        <v>1095</v>
      </c>
      <c r="P5" s="45">
        <f t="shared" ca="1" si="3"/>
        <v>-42.105022831050228</v>
      </c>
      <c r="Q5"/>
    </row>
    <row r="6" spans="1:17" ht="17.399999999999999">
      <c r="A6" s="10">
        <f>DATA!G6</f>
        <v>0</v>
      </c>
      <c r="B6" s="5">
        <f>DATA!C6</f>
        <v>0</v>
      </c>
      <c r="C6" s="6" t="e">
        <f>VLOOKUP(B6,점포명!B:C,2,0)</f>
        <v>#N/A</v>
      </c>
      <c r="D6" s="5">
        <f>DATA!C6</f>
        <v>0</v>
      </c>
      <c r="E6" s="6" t="e">
        <f>VLOOKUP(D6,점포명!B:C,2,0)</f>
        <v>#N/A</v>
      </c>
      <c r="F6" s="7">
        <f>DATA!D6</f>
        <v>0</v>
      </c>
      <c r="G6" s="16" t="e">
        <f>VLOOKUP(F6,제품코드!A:C,2,0)</f>
        <v>#N/A</v>
      </c>
      <c r="H6" s="21">
        <f>DATA!E6</f>
        <v>0</v>
      </c>
      <c r="I6" s="17">
        <f>DATA!L6</f>
        <v>0</v>
      </c>
      <c r="J6" s="15" t="e">
        <f>VLOOKUP(G6,제품코드!B:D,3,0)</f>
        <v>#N/A</v>
      </c>
      <c r="K6" s="8" t="e">
        <f t="shared" si="0"/>
        <v>#N/A</v>
      </c>
      <c r="M6"/>
      <c r="N6"/>
      <c r="O6"/>
      <c r="P6"/>
      <c r="Q6"/>
    </row>
    <row r="7" spans="1:17" ht="15.6">
      <c r="A7" s="10">
        <f>DATA!E7</f>
        <v>0</v>
      </c>
      <c r="B7" s="5">
        <f>DATA!B7</f>
        <v>0</v>
      </c>
      <c r="C7" s="6" t="e">
        <f>VLOOKUP(B7,점포명!B:C,2,0)</f>
        <v>#N/A</v>
      </c>
      <c r="D7" s="5">
        <f>DATA!C7</f>
        <v>0</v>
      </c>
      <c r="E7" s="6" t="e">
        <f>VLOOKUP(D7,점포명!B:C,2,0)</f>
        <v>#N/A</v>
      </c>
      <c r="F7" s="7">
        <f>DATA!C7</f>
        <v>0</v>
      </c>
      <c r="G7" s="16" t="e">
        <f>VLOOKUP(F7,제품코드!A:C,2,0)</f>
        <v>#N/A</v>
      </c>
      <c r="H7" s="21">
        <f>DATA!D7</f>
        <v>0</v>
      </c>
      <c r="I7" s="17">
        <f>DATA!L7</f>
        <v>0</v>
      </c>
      <c r="J7" s="15" t="e">
        <f>VLOOKUP(G7,제품코드!B:D,3,0)</f>
        <v>#N/A</v>
      </c>
      <c r="K7" s="8" t="e">
        <f t="shared" si="0"/>
        <v>#N/A</v>
      </c>
      <c r="O7" s="9"/>
    </row>
    <row r="8" spans="1:17" ht="15.6">
      <c r="A8" s="35">
        <f>DATA!E8</f>
        <v>0</v>
      </c>
      <c r="B8" s="5">
        <f>DATA!B8</f>
        <v>0</v>
      </c>
      <c r="C8" s="6" t="e">
        <f>VLOOKUP(B8,점포명!B:C,2,0)</f>
        <v>#N/A</v>
      </c>
      <c r="D8" s="5">
        <f>DATA!C8</f>
        <v>0</v>
      </c>
      <c r="E8" s="6" t="e">
        <f>VLOOKUP(D8,점포명!B:C,2,0)</f>
        <v>#N/A</v>
      </c>
      <c r="F8" s="7">
        <f>DATA!C8</f>
        <v>0</v>
      </c>
      <c r="G8" s="16" t="e">
        <f>VLOOKUP(F8,제품코드!A:C,2,0)</f>
        <v>#N/A</v>
      </c>
      <c r="H8" s="21">
        <f>DATA!D8</f>
        <v>0</v>
      </c>
      <c r="I8" s="17">
        <f>DATA!L8</f>
        <v>0</v>
      </c>
      <c r="J8" s="15" t="e">
        <f>VLOOKUP(G8,제품코드!B:D,3,0)</f>
        <v>#N/A</v>
      </c>
      <c r="K8" s="8" t="e">
        <f t="shared" si="0"/>
        <v>#N/A</v>
      </c>
      <c r="O8" s="9"/>
    </row>
    <row r="9" spans="1:17" ht="15.6">
      <c r="A9" s="35">
        <f>DATA!E9</f>
        <v>0</v>
      </c>
      <c r="B9" s="5">
        <f>DATA!B9</f>
        <v>0</v>
      </c>
      <c r="C9" s="6" t="e">
        <f>VLOOKUP(B9,점포명!B:C,2,0)</f>
        <v>#N/A</v>
      </c>
      <c r="D9" s="5">
        <f>DATA!C9</f>
        <v>0</v>
      </c>
      <c r="E9" s="6" t="e">
        <f>VLOOKUP(D9,점포명!B:C,2,0)</f>
        <v>#N/A</v>
      </c>
      <c r="F9" s="7">
        <f>DATA!C9</f>
        <v>0</v>
      </c>
      <c r="G9" s="16" t="e">
        <f>VLOOKUP(F9,제품코드!A:C,2,0)</f>
        <v>#N/A</v>
      </c>
      <c r="H9" s="21">
        <f>DATA!D9</f>
        <v>0</v>
      </c>
      <c r="I9" s="17">
        <f>DATA!L9</f>
        <v>0</v>
      </c>
      <c r="J9" s="15" t="e">
        <f>VLOOKUP(G9,제품코드!B:D,3,0)</f>
        <v>#N/A</v>
      </c>
      <c r="K9" s="8" t="e">
        <f t="shared" si="0"/>
        <v>#N/A</v>
      </c>
      <c r="M9" s="43" t="s">
        <v>104</v>
      </c>
      <c r="N9" s="44" t="s">
        <v>108</v>
      </c>
    </row>
    <row r="10" spans="1:17" ht="15.6">
      <c r="A10" s="35">
        <f>DATA!E10</f>
        <v>0</v>
      </c>
      <c r="B10" s="5">
        <f>DATA!B10</f>
        <v>0</v>
      </c>
      <c r="C10" s="6" t="e">
        <f>VLOOKUP(B10,점포명!B:C,2,0)</f>
        <v>#N/A</v>
      </c>
      <c r="D10" s="5">
        <f>DATA!C10</f>
        <v>0</v>
      </c>
      <c r="E10" s="6" t="e">
        <f>VLOOKUP(D10,점포명!B:C,2,0)</f>
        <v>#N/A</v>
      </c>
      <c r="F10" s="7">
        <f>DATA!C10</f>
        <v>0</v>
      </c>
      <c r="G10" s="16" t="e">
        <f>VLOOKUP(F10,제품코드!A:C,2,0)</f>
        <v>#N/A</v>
      </c>
      <c r="H10" s="21">
        <f>DATA!D10</f>
        <v>0</v>
      </c>
      <c r="I10" s="17">
        <f>DATA!L10</f>
        <v>0</v>
      </c>
      <c r="J10" s="15" t="e">
        <f>VLOOKUP(G10,제품코드!B:D,3,0)</f>
        <v>#N/A</v>
      </c>
      <c r="K10" s="8" t="e">
        <f t="shared" si="0"/>
        <v>#N/A</v>
      </c>
      <c r="M10" s="43" t="s">
        <v>105</v>
      </c>
      <c r="N10" s="44"/>
    </row>
    <row r="11" spans="1:17" ht="15.6">
      <c r="A11" s="35">
        <f>DATA!E11</f>
        <v>0</v>
      </c>
      <c r="B11" s="5">
        <f>DATA!B11</f>
        <v>0</v>
      </c>
      <c r="C11" s="6" t="e">
        <f>VLOOKUP(B11,점포명!B:C,2,0)</f>
        <v>#N/A</v>
      </c>
      <c r="D11" s="5">
        <f>DATA!C11</f>
        <v>0</v>
      </c>
      <c r="E11" s="6" t="e">
        <f>VLOOKUP(D11,점포명!B:C,2,0)</f>
        <v>#N/A</v>
      </c>
      <c r="F11" s="7">
        <f>DATA!C11</f>
        <v>0</v>
      </c>
      <c r="G11" s="16" t="e">
        <f>VLOOKUP(F11,제품코드!A:C,2,0)</f>
        <v>#N/A</v>
      </c>
      <c r="H11" s="21">
        <f>DATA!D11</f>
        <v>0</v>
      </c>
      <c r="I11" s="17">
        <f>DATA!L11</f>
        <v>0</v>
      </c>
      <c r="J11" s="15" t="e">
        <f>VLOOKUP(G11,제품코드!B:D,3,0)</f>
        <v>#N/A</v>
      </c>
      <c r="K11" s="8" t="e">
        <f t="shared" si="0"/>
        <v>#N/A</v>
      </c>
      <c r="M11" s="43" t="s">
        <v>106</v>
      </c>
      <c r="N11" s="44"/>
    </row>
    <row r="12" spans="1:17" ht="15.6">
      <c r="A12" s="35">
        <f>DATA!E12</f>
        <v>0</v>
      </c>
      <c r="B12" s="5">
        <f>DATA!B12</f>
        <v>0</v>
      </c>
      <c r="C12" s="6" t="e">
        <f>VLOOKUP(B12,점포명!B:C,2,0)</f>
        <v>#N/A</v>
      </c>
      <c r="D12" s="5">
        <f>DATA!C12</f>
        <v>0</v>
      </c>
      <c r="E12" s="6" t="e">
        <f>VLOOKUP(D12,점포명!B:C,2,0)</f>
        <v>#N/A</v>
      </c>
      <c r="F12" s="7">
        <f>DATA!C12</f>
        <v>0</v>
      </c>
      <c r="G12" s="16" t="e">
        <f>VLOOKUP(F12,제품코드!A:C,2,0)</f>
        <v>#N/A</v>
      </c>
      <c r="H12" s="21">
        <f>DATA!D12</f>
        <v>0</v>
      </c>
      <c r="I12" s="17">
        <f>DATA!L12</f>
        <v>0</v>
      </c>
      <c r="J12" s="15" t="e">
        <f>VLOOKUP(G12,제품코드!B:D,3,0)</f>
        <v>#N/A</v>
      </c>
      <c r="K12" s="8" t="e">
        <f t="shared" si="0"/>
        <v>#N/A</v>
      </c>
      <c r="M12" s="43" t="s">
        <v>107</v>
      </c>
      <c r="N12" s="44"/>
    </row>
    <row r="13" spans="1:17" ht="15.6">
      <c r="A13" s="35">
        <f>DATA!E13</f>
        <v>0</v>
      </c>
      <c r="B13" s="5">
        <f>DATA!B13</f>
        <v>0</v>
      </c>
      <c r="C13" s="6" t="e">
        <f>VLOOKUP(B13,점포명!B:C,2,0)</f>
        <v>#N/A</v>
      </c>
      <c r="D13" s="5">
        <f>DATA!C13</f>
        <v>0</v>
      </c>
      <c r="E13" s="6" t="e">
        <f>VLOOKUP(D13,점포명!B:C,2,0)</f>
        <v>#N/A</v>
      </c>
      <c r="F13" s="7">
        <f>DATA!C13</f>
        <v>0</v>
      </c>
      <c r="G13" s="16" t="e">
        <f>VLOOKUP(F13,제품코드!A:C,2,0)</f>
        <v>#N/A</v>
      </c>
      <c r="H13" s="21">
        <f>DATA!D13</f>
        <v>0</v>
      </c>
      <c r="I13" s="17">
        <f>DATA!L13</f>
        <v>0</v>
      </c>
      <c r="J13" s="15" t="e">
        <f>VLOOKUP(G13,제품코드!B:D,3,0)</f>
        <v>#N/A</v>
      </c>
      <c r="K13" s="8" t="e">
        <f t="shared" ref="K13" si="4">I13*J13</f>
        <v>#N/A</v>
      </c>
    </row>
    <row r="14" spans="1:17" ht="15" customHeight="1">
      <c r="A14" s="35">
        <f>DATA!E14</f>
        <v>0</v>
      </c>
      <c r="B14" s="5">
        <f>DATA!B14</f>
        <v>0</v>
      </c>
      <c r="C14" s="6" t="e">
        <f>VLOOKUP(B14,점포명!B:C,2,0)</f>
        <v>#N/A</v>
      </c>
      <c r="D14" s="5">
        <f>DATA!C14</f>
        <v>0</v>
      </c>
      <c r="E14" s="6" t="e">
        <f>VLOOKUP(D14,점포명!B:C,2,0)</f>
        <v>#N/A</v>
      </c>
      <c r="F14" s="7">
        <f>DATA!C14</f>
        <v>0</v>
      </c>
      <c r="G14" s="16" t="e">
        <f>VLOOKUP(F14,제품코드!A:C,2,0)</f>
        <v>#N/A</v>
      </c>
      <c r="H14" s="21">
        <f>DATA!D14</f>
        <v>0</v>
      </c>
      <c r="I14" s="17">
        <f>DATA!L14</f>
        <v>0</v>
      </c>
      <c r="J14" s="15" t="e">
        <f>VLOOKUP(G14,제품코드!B:D,3,0)</f>
        <v>#N/A</v>
      </c>
      <c r="K14" s="8" t="e">
        <f t="shared" ref="K14" si="5">I14*J14</f>
        <v>#N/A</v>
      </c>
    </row>
    <row r="15" spans="1:17" ht="15.6">
      <c r="A15" s="35">
        <f>DATA!E15</f>
        <v>0</v>
      </c>
      <c r="B15" s="5">
        <f>DATA!B15</f>
        <v>0</v>
      </c>
      <c r="C15" s="6" t="e">
        <f>VLOOKUP(B15,점포명!B:C,2,0)</f>
        <v>#N/A</v>
      </c>
      <c r="D15" s="5">
        <f>DATA!C15</f>
        <v>0</v>
      </c>
      <c r="E15" s="6" t="e">
        <f>VLOOKUP(D15,점포명!B:C,2,0)</f>
        <v>#N/A</v>
      </c>
      <c r="F15" s="7">
        <f>DATA!C15</f>
        <v>0</v>
      </c>
      <c r="G15" s="16" t="e">
        <f>VLOOKUP(F15,제품코드!A:C,2,0)</f>
        <v>#N/A</v>
      </c>
      <c r="H15" s="21">
        <f>DATA!D15</f>
        <v>0</v>
      </c>
      <c r="I15" s="17">
        <f>DATA!L15</f>
        <v>0</v>
      </c>
      <c r="J15" s="15" t="e">
        <f>VLOOKUP(G15,제품코드!B:D,3,0)</f>
        <v>#N/A</v>
      </c>
      <c r="K15" s="8" t="e">
        <f t="shared" ref="K15:K16" si="6">I15*J15</f>
        <v>#N/A</v>
      </c>
    </row>
    <row r="16" spans="1:17" ht="15.6">
      <c r="A16" s="35">
        <f>DATA!E16</f>
        <v>0</v>
      </c>
      <c r="B16" s="5">
        <f>DATA!B16</f>
        <v>0</v>
      </c>
      <c r="C16" s="6" t="e">
        <f>VLOOKUP(B16,점포명!B:C,2,0)</f>
        <v>#N/A</v>
      </c>
      <c r="D16" s="5">
        <f>DATA!B16</f>
        <v>0</v>
      </c>
      <c r="E16" s="6" t="e">
        <f>VLOOKUP(D16,점포명!B:C,2,0)</f>
        <v>#N/A</v>
      </c>
      <c r="F16" s="7">
        <f>DATA!C16</f>
        <v>0</v>
      </c>
      <c r="G16" s="16" t="e">
        <f>VLOOKUP(F16,제품코드!A:C,2,0)</f>
        <v>#N/A</v>
      </c>
      <c r="H16" s="21">
        <f>DATA!D16</f>
        <v>0</v>
      </c>
      <c r="I16" s="17">
        <f>DATA!L16</f>
        <v>0</v>
      </c>
      <c r="J16" s="15" t="e">
        <f>VLOOKUP(G16,제품코드!B:D,3,0)</f>
        <v>#N/A</v>
      </c>
      <c r="K16" s="8" t="e">
        <f t="shared" si="6"/>
        <v>#N/A</v>
      </c>
    </row>
    <row r="17" spans="1:11" ht="15.6">
      <c r="A17" s="35">
        <f>DATA!E17</f>
        <v>0</v>
      </c>
      <c r="B17" s="5">
        <f>DATA!B17</f>
        <v>0</v>
      </c>
      <c r="C17" s="6" t="e">
        <f>VLOOKUP(B17,점포명!B:C,2,0)</f>
        <v>#N/A</v>
      </c>
      <c r="D17" s="5">
        <f>DATA!B17</f>
        <v>0</v>
      </c>
      <c r="E17" s="6" t="e">
        <f>VLOOKUP(D17,점포명!B:C,2,0)</f>
        <v>#N/A</v>
      </c>
      <c r="F17" s="7">
        <f>DATA!C17</f>
        <v>0</v>
      </c>
      <c r="G17" s="16" t="e">
        <f>VLOOKUP(F17,제품코드!A:C,2,0)</f>
        <v>#N/A</v>
      </c>
      <c r="H17" s="21">
        <f>DATA!D17</f>
        <v>0</v>
      </c>
      <c r="I17" s="17">
        <f>DATA!L17</f>
        <v>0</v>
      </c>
      <c r="J17" s="15" t="e">
        <f>VLOOKUP(G17,제품코드!B:D,3,0)</f>
        <v>#N/A</v>
      </c>
      <c r="K17" s="8" t="e">
        <f t="shared" ref="K17:K20" si="7">I17*J17</f>
        <v>#N/A</v>
      </c>
    </row>
    <row r="18" spans="1:11" ht="15.6">
      <c r="A18" s="35">
        <f>DATA!E18</f>
        <v>0</v>
      </c>
      <c r="B18" s="5">
        <f>DATA!B18</f>
        <v>0</v>
      </c>
      <c r="C18" s="6" t="e">
        <f>VLOOKUP(B18,점포명!B:C,2,0)</f>
        <v>#N/A</v>
      </c>
      <c r="D18" s="5">
        <f>DATA!B18</f>
        <v>0</v>
      </c>
      <c r="E18" s="6" t="e">
        <f>VLOOKUP(D18,점포명!B:C,2,0)</f>
        <v>#N/A</v>
      </c>
      <c r="F18" s="7">
        <f>DATA!C18</f>
        <v>0</v>
      </c>
      <c r="G18" s="16" t="e">
        <f>VLOOKUP(F18,제품코드!A:C,2,0)</f>
        <v>#N/A</v>
      </c>
      <c r="H18" s="21">
        <f>DATA!D18</f>
        <v>0</v>
      </c>
      <c r="I18" s="17">
        <f>DATA!L18</f>
        <v>0</v>
      </c>
      <c r="J18" s="15" t="e">
        <f>VLOOKUP(G18,제품코드!B:D,3,0)</f>
        <v>#N/A</v>
      </c>
      <c r="K18" s="8" t="e">
        <f t="shared" si="7"/>
        <v>#N/A</v>
      </c>
    </row>
    <row r="19" spans="1:11" ht="15.6">
      <c r="A19" s="35">
        <f>DATA!E19</f>
        <v>0</v>
      </c>
      <c r="B19" s="5">
        <f>DATA!B19</f>
        <v>0</v>
      </c>
      <c r="C19" s="6" t="e">
        <f>VLOOKUP(B19,점포명!B:C,2,0)</f>
        <v>#N/A</v>
      </c>
      <c r="D19" s="5">
        <f>DATA!B19</f>
        <v>0</v>
      </c>
      <c r="E19" s="6" t="e">
        <f>VLOOKUP(D19,점포명!B:C,2,0)</f>
        <v>#N/A</v>
      </c>
      <c r="F19" s="7">
        <f>DATA!C19</f>
        <v>0</v>
      </c>
      <c r="G19" s="16" t="e">
        <f>VLOOKUP(F19,제품코드!A:C,2,0)</f>
        <v>#N/A</v>
      </c>
      <c r="H19" s="21">
        <f>DATA!D19</f>
        <v>0</v>
      </c>
      <c r="I19" s="17">
        <f>DATA!L19</f>
        <v>0</v>
      </c>
      <c r="J19" s="15" t="e">
        <f>VLOOKUP(G19,제품코드!B:D,3,0)</f>
        <v>#N/A</v>
      </c>
      <c r="K19" s="8" t="e">
        <f t="shared" si="7"/>
        <v>#N/A</v>
      </c>
    </row>
    <row r="20" spans="1:11" ht="15.6">
      <c r="A20" s="35">
        <f>DATA!E20</f>
        <v>0</v>
      </c>
      <c r="B20" s="5">
        <f>DATA!B20</f>
        <v>0</v>
      </c>
      <c r="C20" s="6" t="e">
        <f>VLOOKUP(B20,점포명!B:C,2,0)</f>
        <v>#N/A</v>
      </c>
      <c r="D20" s="5">
        <f>DATA!B20</f>
        <v>0</v>
      </c>
      <c r="E20" s="6" t="e">
        <f>VLOOKUP(D20,점포명!B:C,2,0)</f>
        <v>#N/A</v>
      </c>
      <c r="F20" s="7">
        <f>DATA!C20</f>
        <v>0</v>
      </c>
      <c r="G20" s="16" t="e">
        <f>VLOOKUP(F20,제품코드!A:C,2,0)</f>
        <v>#N/A</v>
      </c>
      <c r="H20" s="21">
        <f>DATA!D20</f>
        <v>0</v>
      </c>
      <c r="I20" s="17">
        <f>DATA!L20</f>
        <v>0</v>
      </c>
      <c r="J20" s="15" t="e">
        <f>VLOOKUP(G20,제품코드!B:D,3,0)</f>
        <v>#N/A</v>
      </c>
      <c r="K20" s="8" t="e">
        <f t="shared" si="7"/>
        <v>#N/A</v>
      </c>
    </row>
    <row r="21" spans="1:11" ht="15.6">
      <c r="B21" s="5">
        <f>DATA!B21</f>
        <v>0</v>
      </c>
      <c r="C21" s="6" t="e">
        <f>VLOOKUP(B21,점포명!B:C,2,0)</f>
        <v>#N/A</v>
      </c>
      <c r="D21" s="5">
        <f>DATA!B21</f>
        <v>0</v>
      </c>
      <c r="E21" s="6" t="e">
        <f>VLOOKUP(D21,점포명!B:C,2,0)</f>
        <v>#N/A</v>
      </c>
      <c r="F21" s="7">
        <f>DATA!C21</f>
        <v>0</v>
      </c>
      <c r="G21" s="16" t="e">
        <f>VLOOKUP(F21,제품코드!A:C,2,0)</f>
        <v>#N/A</v>
      </c>
      <c r="H21" s="21">
        <f>DATA!D21</f>
        <v>0</v>
      </c>
      <c r="I21" s="17">
        <f>DATA!L21</f>
        <v>0</v>
      </c>
      <c r="J21" s="15" t="e">
        <f>VLOOKUP(G21,제품코드!B:D,3,0)</f>
        <v>#N/A</v>
      </c>
      <c r="K21" s="8" t="e">
        <f t="shared" ref="K21:K22" si="8">I21*J21</f>
        <v>#N/A</v>
      </c>
    </row>
    <row r="22" spans="1:11" ht="15.6">
      <c r="B22" s="5">
        <f>DATA!B22</f>
        <v>0</v>
      </c>
      <c r="C22" s="6" t="e">
        <f>VLOOKUP(B22,점포명!B:C,2,0)</f>
        <v>#N/A</v>
      </c>
      <c r="D22" s="5">
        <f>DATA!B22</f>
        <v>0</v>
      </c>
      <c r="E22" s="6" t="e">
        <f>VLOOKUP(D22,점포명!B:C,2,0)</f>
        <v>#N/A</v>
      </c>
      <c r="F22" s="7">
        <f>DATA!C22</f>
        <v>0</v>
      </c>
      <c r="G22" s="16" t="e">
        <f>VLOOKUP(F22,제품코드!A:C,2,0)</f>
        <v>#N/A</v>
      </c>
      <c r="H22" s="21">
        <f>DATA!D22</f>
        <v>0</v>
      </c>
      <c r="I22" s="17">
        <f>DATA!L22</f>
        <v>0</v>
      </c>
      <c r="J22" s="15" t="e">
        <f>VLOOKUP(G22,제품코드!B:D,3,0)</f>
        <v>#N/A</v>
      </c>
      <c r="K22" s="8" t="e">
        <f t="shared" si="8"/>
        <v>#N/A</v>
      </c>
    </row>
    <row r="23" spans="1:11" ht="15.6">
      <c r="B23" s="5">
        <f>DATA!B23</f>
        <v>0</v>
      </c>
      <c r="C23" s="6" t="e">
        <f>VLOOKUP(B23,점포명!B:C,2,0)</f>
        <v>#N/A</v>
      </c>
      <c r="D23" s="5">
        <f>DATA!B23</f>
        <v>0</v>
      </c>
      <c r="E23" s="6" t="e">
        <f>VLOOKUP(D23,점포명!B:C,2,0)</f>
        <v>#N/A</v>
      </c>
      <c r="F23" s="7">
        <f>DATA!C23</f>
        <v>0</v>
      </c>
      <c r="G23" s="16" t="e">
        <f>VLOOKUP(F23,제품코드!A:C,2,0)</f>
        <v>#N/A</v>
      </c>
      <c r="H23" s="21">
        <f>DATA!D23</f>
        <v>0</v>
      </c>
      <c r="I23" s="17">
        <f>DATA!L23</f>
        <v>0</v>
      </c>
      <c r="J23" s="15" t="e">
        <f>VLOOKUP(G23,제품코드!B:D,3,0)</f>
        <v>#N/A</v>
      </c>
      <c r="K23" s="8" t="e">
        <f t="shared" ref="K23:K66" si="9">I23*J23</f>
        <v>#N/A</v>
      </c>
    </row>
    <row r="24" spans="1:11" ht="15.6">
      <c r="B24" s="5">
        <f>DATA!B24</f>
        <v>0</v>
      </c>
      <c r="C24" s="6" t="e">
        <f>VLOOKUP(B24,점포명!B:C,2,0)</f>
        <v>#N/A</v>
      </c>
      <c r="D24" s="5">
        <f>DATA!B24</f>
        <v>0</v>
      </c>
      <c r="E24" s="6" t="e">
        <f>VLOOKUP(D24,점포명!B:C,2,0)</f>
        <v>#N/A</v>
      </c>
      <c r="F24" s="7">
        <f>DATA!C24</f>
        <v>0</v>
      </c>
      <c r="G24" s="16" t="e">
        <f>VLOOKUP(F24,제품코드!A:C,2,0)</f>
        <v>#N/A</v>
      </c>
      <c r="H24" s="21">
        <f>DATA!D24</f>
        <v>0</v>
      </c>
      <c r="I24" s="17">
        <f>DATA!L24</f>
        <v>0</v>
      </c>
      <c r="J24" s="15" t="e">
        <f>VLOOKUP(G24,제품코드!B:D,3,0)</f>
        <v>#N/A</v>
      </c>
      <c r="K24" s="8" t="e">
        <f t="shared" si="9"/>
        <v>#N/A</v>
      </c>
    </row>
    <row r="25" spans="1:11" ht="15.6">
      <c r="B25" s="5">
        <f>DATA!B25</f>
        <v>0</v>
      </c>
      <c r="C25" s="6" t="e">
        <f>VLOOKUP(B25,점포명!B:C,2,0)</f>
        <v>#N/A</v>
      </c>
      <c r="D25" s="5">
        <f>DATA!B25</f>
        <v>0</v>
      </c>
      <c r="E25" s="6" t="e">
        <f>VLOOKUP(D25,점포명!B:C,2,0)</f>
        <v>#N/A</v>
      </c>
      <c r="F25" s="7">
        <f>DATA!C25</f>
        <v>0</v>
      </c>
      <c r="G25" s="16" t="e">
        <f>VLOOKUP(F25,제품코드!A:C,2,0)</f>
        <v>#N/A</v>
      </c>
      <c r="H25" s="21">
        <f>DATA!D25</f>
        <v>0</v>
      </c>
      <c r="I25" s="17">
        <f>DATA!L25</f>
        <v>0</v>
      </c>
      <c r="J25" s="15" t="e">
        <f>VLOOKUP(G25,제품코드!B:D,3,0)</f>
        <v>#N/A</v>
      </c>
      <c r="K25" s="8" t="e">
        <f t="shared" si="9"/>
        <v>#N/A</v>
      </c>
    </row>
    <row r="26" spans="1:11" ht="15.6">
      <c r="B26" s="5">
        <f>DATA!B26</f>
        <v>0</v>
      </c>
      <c r="C26" s="6" t="e">
        <f>VLOOKUP(B26,점포명!B:C,2,0)</f>
        <v>#N/A</v>
      </c>
      <c r="D26" s="5">
        <f>DATA!B26</f>
        <v>0</v>
      </c>
      <c r="E26" s="6" t="e">
        <f>VLOOKUP(D26,점포명!B:C,2,0)</f>
        <v>#N/A</v>
      </c>
      <c r="F26" s="7">
        <f>DATA!C26</f>
        <v>0</v>
      </c>
      <c r="G26" s="16" t="e">
        <f>VLOOKUP(F26,제품코드!A:C,2,0)</f>
        <v>#N/A</v>
      </c>
      <c r="H26" s="21">
        <f>DATA!D26</f>
        <v>0</v>
      </c>
      <c r="I26" s="17">
        <f>DATA!L26</f>
        <v>0</v>
      </c>
      <c r="J26" s="15" t="e">
        <f>VLOOKUP(G26,제품코드!B:D,3,0)</f>
        <v>#N/A</v>
      </c>
      <c r="K26" s="8" t="e">
        <f t="shared" si="9"/>
        <v>#N/A</v>
      </c>
    </row>
    <row r="27" spans="1:11" ht="15.6">
      <c r="B27" s="5">
        <f>DATA!B27</f>
        <v>0</v>
      </c>
      <c r="C27" s="6" t="e">
        <f>VLOOKUP(B27,점포명!B:C,2,0)</f>
        <v>#N/A</v>
      </c>
      <c r="D27" s="5">
        <f>DATA!B27</f>
        <v>0</v>
      </c>
      <c r="E27" s="6" t="e">
        <f>VLOOKUP(D27,점포명!B:C,2,0)</f>
        <v>#N/A</v>
      </c>
      <c r="F27" s="7">
        <f>DATA!C27</f>
        <v>0</v>
      </c>
      <c r="G27" s="16" t="e">
        <f>VLOOKUP(F27,제품코드!A:C,2,0)</f>
        <v>#N/A</v>
      </c>
      <c r="H27" s="21">
        <f>DATA!D27</f>
        <v>0</v>
      </c>
      <c r="I27" s="17">
        <f>DATA!L27</f>
        <v>0</v>
      </c>
      <c r="J27" s="15" t="e">
        <f>VLOOKUP(G27,제품코드!B:D,3,0)</f>
        <v>#N/A</v>
      </c>
      <c r="K27" s="8" t="e">
        <f t="shared" si="9"/>
        <v>#N/A</v>
      </c>
    </row>
    <row r="28" spans="1:11" ht="15.6">
      <c r="B28" s="5">
        <f>DATA!B28</f>
        <v>0</v>
      </c>
      <c r="C28" s="6" t="e">
        <f>VLOOKUP(B28,점포명!B:C,2,0)</f>
        <v>#N/A</v>
      </c>
      <c r="D28" s="5">
        <f>DATA!B28</f>
        <v>0</v>
      </c>
      <c r="E28" s="6" t="e">
        <f>VLOOKUP(D28,점포명!B:C,2,0)</f>
        <v>#N/A</v>
      </c>
      <c r="F28" s="7">
        <f>DATA!C28</f>
        <v>0</v>
      </c>
      <c r="G28" s="16" t="e">
        <f>VLOOKUP(F28,제품코드!A:C,2,0)</f>
        <v>#N/A</v>
      </c>
      <c r="H28" s="21">
        <f>DATA!D28</f>
        <v>0</v>
      </c>
      <c r="I28" s="17">
        <f>DATA!L28</f>
        <v>0</v>
      </c>
      <c r="J28" s="15" t="e">
        <f>VLOOKUP(G28,제품코드!B:D,3,0)</f>
        <v>#N/A</v>
      </c>
      <c r="K28" s="8" t="e">
        <f t="shared" si="9"/>
        <v>#N/A</v>
      </c>
    </row>
    <row r="29" spans="1:11" ht="15.6">
      <c r="B29" s="5">
        <f>DATA!B29</f>
        <v>0</v>
      </c>
      <c r="C29" s="6" t="e">
        <f>VLOOKUP(B29,점포명!B:C,2,0)</f>
        <v>#N/A</v>
      </c>
      <c r="D29" s="5">
        <f>DATA!B29</f>
        <v>0</v>
      </c>
      <c r="E29" s="6" t="e">
        <f>VLOOKUP(D29,점포명!B:C,2,0)</f>
        <v>#N/A</v>
      </c>
      <c r="F29" s="7">
        <f>DATA!C29</f>
        <v>0</v>
      </c>
      <c r="G29" s="16" t="e">
        <f>VLOOKUP(F29,제품코드!A:C,2,0)</f>
        <v>#N/A</v>
      </c>
      <c r="H29" s="21">
        <f>DATA!D29</f>
        <v>0</v>
      </c>
      <c r="I29" s="17">
        <f>DATA!L29</f>
        <v>0</v>
      </c>
      <c r="J29" s="15" t="e">
        <f>VLOOKUP(G29,제품코드!B:D,3,0)</f>
        <v>#N/A</v>
      </c>
      <c r="K29" s="8" t="e">
        <f t="shared" si="9"/>
        <v>#N/A</v>
      </c>
    </row>
    <row r="30" spans="1:11" ht="15.6">
      <c r="B30" s="5">
        <f>DATA!B30</f>
        <v>0</v>
      </c>
      <c r="C30" s="6" t="e">
        <f>VLOOKUP(B30,점포명!B:C,2,0)</f>
        <v>#N/A</v>
      </c>
      <c r="D30" s="5">
        <f>DATA!B30</f>
        <v>0</v>
      </c>
      <c r="E30" s="6" t="e">
        <f>VLOOKUP(D30,점포명!B:C,2,0)</f>
        <v>#N/A</v>
      </c>
      <c r="F30" s="7">
        <f>DATA!C30</f>
        <v>0</v>
      </c>
      <c r="G30" s="16" t="e">
        <f>VLOOKUP(F30,제품코드!A:C,2,0)</f>
        <v>#N/A</v>
      </c>
      <c r="H30" s="21">
        <f>DATA!D30</f>
        <v>0</v>
      </c>
      <c r="I30" s="17">
        <f>DATA!L30</f>
        <v>0</v>
      </c>
      <c r="J30" s="15" t="e">
        <f>VLOOKUP(G30,제품코드!B:D,3,0)</f>
        <v>#N/A</v>
      </c>
      <c r="K30" s="8" t="e">
        <f t="shared" si="9"/>
        <v>#N/A</v>
      </c>
    </row>
    <row r="31" spans="1:11" ht="15.6">
      <c r="B31" s="5">
        <f>DATA!B31</f>
        <v>0</v>
      </c>
      <c r="C31" s="6" t="e">
        <f>VLOOKUP(B31,점포명!B:C,2,0)</f>
        <v>#N/A</v>
      </c>
      <c r="D31" s="5">
        <f>DATA!B31</f>
        <v>0</v>
      </c>
      <c r="E31" s="6" t="e">
        <f>VLOOKUP(D31,점포명!B:C,2,0)</f>
        <v>#N/A</v>
      </c>
      <c r="F31" s="7">
        <f>DATA!C31</f>
        <v>0</v>
      </c>
      <c r="G31" s="16" t="e">
        <f>VLOOKUP(F31,제품코드!A:C,2,0)</f>
        <v>#N/A</v>
      </c>
      <c r="H31" s="21">
        <f>DATA!D31</f>
        <v>0</v>
      </c>
      <c r="I31" s="17">
        <f>DATA!L31</f>
        <v>0</v>
      </c>
      <c r="J31" s="15" t="e">
        <f>VLOOKUP(G31,제품코드!B:D,3,0)</f>
        <v>#N/A</v>
      </c>
      <c r="K31" s="8" t="e">
        <f t="shared" si="9"/>
        <v>#N/A</v>
      </c>
    </row>
    <row r="32" spans="1:11" ht="15.6">
      <c r="B32" s="5">
        <f>DATA!B32</f>
        <v>0</v>
      </c>
      <c r="C32" s="6" t="e">
        <f>VLOOKUP(B32,점포명!B:C,2,0)</f>
        <v>#N/A</v>
      </c>
      <c r="D32" s="5">
        <f>DATA!B32</f>
        <v>0</v>
      </c>
      <c r="E32" s="6" t="e">
        <f>VLOOKUP(D32,점포명!B:C,2,0)</f>
        <v>#N/A</v>
      </c>
      <c r="F32" s="7">
        <f>DATA!C32</f>
        <v>0</v>
      </c>
      <c r="G32" s="16" t="e">
        <f>VLOOKUP(F32,제품코드!A:C,2,0)</f>
        <v>#N/A</v>
      </c>
      <c r="H32" s="21">
        <f>DATA!D32</f>
        <v>0</v>
      </c>
      <c r="I32" s="17">
        <f>DATA!L32</f>
        <v>0</v>
      </c>
      <c r="J32" s="15" t="e">
        <f>VLOOKUP(G32,제품코드!B:D,3,0)</f>
        <v>#N/A</v>
      </c>
      <c r="K32" s="8" t="e">
        <f t="shared" si="9"/>
        <v>#N/A</v>
      </c>
    </row>
    <row r="33" spans="2:11" ht="15.6">
      <c r="B33" s="5">
        <f>DATA!B33</f>
        <v>0</v>
      </c>
      <c r="C33" s="6" t="e">
        <f>VLOOKUP(B33,점포명!B:C,2,0)</f>
        <v>#N/A</v>
      </c>
      <c r="D33" s="5">
        <f>DATA!B33</f>
        <v>0</v>
      </c>
      <c r="E33" s="6" t="e">
        <f>VLOOKUP(D33,점포명!B:C,2,0)</f>
        <v>#N/A</v>
      </c>
      <c r="F33" s="7">
        <f>DATA!C33</f>
        <v>0</v>
      </c>
      <c r="G33" s="16" t="e">
        <f>VLOOKUP(F33,제품코드!A:C,2,0)</f>
        <v>#N/A</v>
      </c>
      <c r="H33" s="21">
        <f>DATA!D33</f>
        <v>0</v>
      </c>
      <c r="I33" s="17">
        <f>DATA!L33</f>
        <v>0</v>
      </c>
      <c r="J33" s="15" t="e">
        <f>VLOOKUP(G33,제품코드!B:D,3,0)</f>
        <v>#N/A</v>
      </c>
      <c r="K33" s="8" t="e">
        <f t="shared" si="9"/>
        <v>#N/A</v>
      </c>
    </row>
    <row r="34" spans="2:11" ht="15.6">
      <c r="B34" s="5">
        <f>DATA!B34</f>
        <v>0</v>
      </c>
      <c r="C34" s="6" t="e">
        <f>VLOOKUP(B34,점포명!B:C,2,0)</f>
        <v>#N/A</v>
      </c>
      <c r="D34" s="5">
        <f>DATA!B34</f>
        <v>0</v>
      </c>
      <c r="E34" s="6" t="e">
        <f>VLOOKUP(D34,점포명!B:C,2,0)</f>
        <v>#N/A</v>
      </c>
      <c r="F34" s="7">
        <f>DATA!C34</f>
        <v>0</v>
      </c>
      <c r="G34" s="16" t="e">
        <f>VLOOKUP(F34,제품코드!A:C,2,0)</f>
        <v>#N/A</v>
      </c>
      <c r="H34" s="21">
        <f>DATA!D34</f>
        <v>0</v>
      </c>
      <c r="I34" s="17">
        <f>DATA!L34</f>
        <v>0</v>
      </c>
      <c r="J34" s="15" t="e">
        <f>VLOOKUP(G34,제품코드!B:D,3,0)</f>
        <v>#N/A</v>
      </c>
      <c r="K34" s="8" t="e">
        <f t="shared" si="9"/>
        <v>#N/A</v>
      </c>
    </row>
    <row r="35" spans="2:11" ht="15.6">
      <c r="B35" s="5">
        <f>DATA!B35</f>
        <v>0</v>
      </c>
      <c r="C35" s="6" t="e">
        <f>VLOOKUP(B35,점포명!B:C,2,0)</f>
        <v>#N/A</v>
      </c>
      <c r="D35" s="5">
        <f>DATA!B35</f>
        <v>0</v>
      </c>
      <c r="E35" s="6" t="e">
        <f>VLOOKUP(D35,점포명!B:C,2,0)</f>
        <v>#N/A</v>
      </c>
      <c r="F35" s="7">
        <f>DATA!C35</f>
        <v>0</v>
      </c>
      <c r="G35" s="16" t="e">
        <f>VLOOKUP(F35,제품코드!A:C,2,0)</f>
        <v>#N/A</v>
      </c>
      <c r="H35" s="21">
        <f>DATA!D35</f>
        <v>0</v>
      </c>
      <c r="I35" s="17">
        <f>DATA!L35</f>
        <v>0</v>
      </c>
      <c r="J35" s="15" t="e">
        <f>VLOOKUP(G35,제품코드!B:D,3,0)</f>
        <v>#N/A</v>
      </c>
      <c r="K35" s="8" t="e">
        <f t="shared" si="9"/>
        <v>#N/A</v>
      </c>
    </row>
    <row r="36" spans="2:11" ht="15.6">
      <c r="B36" s="5">
        <f>DATA!B36</f>
        <v>0</v>
      </c>
      <c r="C36" s="6" t="e">
        <f>VLOOKUP(B36,점포명!B:C,2,0)</f>
        <v>#N/A</v>
      </c>
      <c r="D36" s="5">
        <f>DATA!B36</f>
        <v>0</v>
      </c>
      <c r="E36" s="6" t="e">
        <f>VLOOKUP(D36,점포명!B:C,2,0)</f>
        <v>#N/A</v>
      </c>
      <c r="F36" s="7">
        <f>DATA!C36</f>
        <v>0</v>
      </c>
      <c r="G36" s="16" t="e">
        <f>VLOOKUP(F36,제품코드!A:C,2,0)</f>
        <v>#N/A</v>
      </c>
      <c r="H36" s="21">
        <f>DATA!D36</f>
        <v>0</v>
      </c>
      <c r="I36" s="17">
        <f>DATA!L36</f>
        <v>0</v>
      </c>
      <c r="J36" s="15" t="e">
        <f>VLOOKUP(G36,제품코드!B:D,3,0)</f>
        <v>#N/A</v>
      </c>
      <c r="K36" s="8" t="e">
        <f t="shared" si="9"/>
        <v>#N/A</v>
      </c>
    </row>
    <row r="37" spans="2:11" ht="15.6">
      <c r="B37" s="5">
        <f>DATA!B37</f>
        <v>0</v>
      </c>
      <c r="C37" s="6" t="e">
        <f>VLOOKUP(B37,점포명!B:C,2,0)</f>
        <v>#N/A</v>
      </c>
      <c r="D37" s="5">
        <f>DATA!B37</f>
        <v>0</v>
      </c>
      <c r="E37" s="6" t="e">
        <f>VLOOKUP(D37,점포명!B:C,2,0)</f>
        <v>#N/A</v>
      </c>
      <c r="F37" s="7">
        <f>DATA!C37</f>
        <v>0</v>
      </c>
      <c r="G37" s="16" t="e">
        <f>VLOOKUP(F37,제품코드!A:C,2,0)</f>
        <v>#N/A</v>
      </c>
      <c r="H37" s="21">
        <f>DATA!D37</f>
        <v>0</v>
      </c>
      <c r="I37" s="17">
        <f>DATA!L37</f>
        <v>0</v>
      </c>
      <c r="J37" s="15" t="e">
        <f>VLOOKUP(G37,제품코드!B:D,3,0)</f>
        <v>#N/A</v>
      </c>
      <c r="K37" s="8" t="e">
        <f t="shared" si="9"/>
        <v>#N/A</v>
      </c>
    </row>
    <row r="38" spans="2:11" ht="15.6">
      <c r="B38" s="5">
        <f>DATA!B38</f>
        <v>0</v>
      </c>
      <c r="C38" s="6" t="e">
        <f>VLOOKUP(B38,점포명!B:C,2,0)</f>
        <v>#N/A</v>
      </c>
      <c r="D38" s="5">
        <f>DATA!B38</f>
        <v>0</v>
      </c>
      <c r="E38" s="6" t="e">
        <f>VLOOKUP(D38,점포명!B:C,2,0)</f>
        <v>#N/A</v>
      </c>
      <c r="F38" s="7">
        <f>DATA!C38</f>
        <v>0</v>
      </c>
      <c r="G38" s="16" t="e">
        <f>VLOOKUP(F38,제품코드!A:C,2,0)</f>
        <v>#N/A</v>
      </c>
      <c r="H38" s="21">
        <f>DATA!D38</f>
        <v>0</v>
      </c>
      <c r="I38" s="17">
        <f>DATA!L38</f>
        <v>0</v>
      </c>
      <c r="J38" s="15" t="e">
        <f>VLOOKUP(G38,제품코드!B:D,3,0)</f>
        <v>#N/A</v>
      </c>
      <c r="K38" s="8" t="e">
        <f t="shared" si="9"/>
        <v>#N/A</v>
      </c>
    </row>
    <row r="39" spans="2:11" ht="15.6">
      <c r="B39" s="5">
        <f>DATA!B39</f>
        <v>0</v>
      </c>
      <c r="C39" s="6" t="e">
        <f>VLOOKUP(B39,점포명!B:C,2,0)</f>
        <v>#N/A</v>
      </c>
      <c r="D39" s="5">
        <f>DATA!B39</f>
        <v>0</v>
      </c>
      <c r="E39" s="6" t="e">
        <f>VLOOKUP(D39,점포명!B:C,2,0)</f>
        <v>#N/A</v>
      </c>
      <c r="F39" s="7">
        <f>DATA!C39</f>
        <v>0</v>
      </c>
      <c r="G39" s="16" t="e">
        <f>VLOOKUP(F39,제품코드!A:C,2,0)</f>
        <v>#N/A</v>
      </c>
      <c r="H39" s="21">
        <f>DATA!D39</f>
        <v>0</v>
      </c>
      <c r="I39" s="17">
        <f>DATA!L39</f>
        <v>0</v>
      </c>
      <c r="J39" s="15" t="e">
        <f>VLOOKUP(G39,제품코드!B:D,3,0)</f>
        <v>#N/A</v>
      </c>
      <c r="K39" s="8" t="e">
        <f t="shared" si="9"/>
        <v>#N/A</v>
      </c>
    </row>
    <row r="40" spans="2:11" ht="15.6">
      <c r="B40" s="5">
        <f>DATA!B40</f>
        <v>0</v>
      </c>
      <c r="C40" s="6" t="e">
        <f>VLOOKUP(B40,점포명!B:C,2,0)</f>
        <v>#N/A</v>
      </c>
      <c r="D40" s="5">
        <f>DATA!B40</f>
        <v>0</v>
      </c>
      <c r="E40" s="6" t="e">
        <f>VLOOKUP(D40,점포명!B:C,2,0)</f>
        <v>#N/A</v>
      </c>
      <c r="F40" s="7">
        <f>DATA!C40</f>
        <v>0</v>
      </c>
      <c r="G40" s="16" t="e">
        <f>VLOOKUP(F40,제품코드!A:C,2,0)</f>
        <v>#N/A</v>
      </c>
      <c r="H40" s="21">
        <f>DATA!D40</f>
        <v>0</v>
      </c>
      <c r="I40" s="17">
        <f>DATA!L40</f>
        <v>0</v>
      </c>
      <c r="J40" s="15" t="e">
        <f>VLOOKUP(G40,제품코드!B:D,3,0)</f>
        <v>#N/A</v>
      </c>
      <c r="K40" s="8" t="e">
        <f t="shared" si="9"/>
        <v>#N/A</v>
      </c>
    </row>
    <row r="41" spans="2:11" ht="15.6">
      <c r="B41" s="5">
        <f>DATA!B41</f>
        <v>0</v>
      </c>
      <c r="C41" s="6" t="e">
        <f>VLOOKUP(B41,점포명!B:C,2,0)</f>
        <v>#N/A</v>
      </c>
      <c r="D41" s="5">
        <f>DATA!B41</f>
        <v>0</v>
      </c>
      <c r="E41" s="6" t="e">
        <f>VLOOKUP(D41,점포명!B:C,2,0)</f>
        <v>#N/A</v>
      </c>
      <c r="F41" s="7">
        <f>DATA!C41</f>
        <v>0</v>
      </c>
      <c r="G41" s="16" t="e">
        <f>VLOOKUP(F41,제품코드!A:C,2,0)</f>
        <v>#N/A</v>
      </c>
      <c r="H41" s="21">
        <f>DATA!D41</f>
        <v>0</v>
      </c>
      <c r="I41" s="17">
        <f>DATA!L41</f>
        <v>0</v>
      </c>
      <c r="J41" s="15" t="e">
        <f>VLOOKUP(G41,제품코드!B:D,3,0)</f>
        <v>#N/A</v>
      </c>
      <c r="K41" s="8" t="e">
        <f t="shared" si="9"/>
        <v>#N/A</v>
      </c>
    </row>
    <row r="42" spans="2:11" ht="15.6">
      <c r="B42" s="5">
        <f>DATA!B42</f>
        <v>0</v>
      </c>
      <c r="C42" s="6" t="e">
        <f>VLOOKUP(B42,점포명!B:C,2,0)</f>
        <v>#N/A</v>
      </c>
      <c r="D42" s="5">
        <f>DATA!B42</f>
        <v>0</v>
      </c>
      <c r="E42" s="6" t="e">
        <f>VLOOKUP(D42,점포명!B:C,2,0)</f>
        <v>#N/A</v>
      </c>
      <c r="F42" s="7">
        <f>DATA!C42</f>
        <v>0</v>
      </c>
      <c r="G42" s="16" t="e">
        <f>VLOOKUP(F42,제품코드!A:C,2,0)</f>
        <v>#N/A</v>
      </c>
      <c r="H42" s="21">
        <f>DATA!D42</f>
        <v>0</v>
      </c>
      <c r="I42" s="17">
        <f>DATA!L42</f>
        <v>0</v>
      </c>
      <c r="J42" s="15" t="e">
        <f>VLOOKUP(G42,제품코드!B:D,3,0)</f>
        <v>#N/A</v>
      </c>
      <c r="K42" s="8" t="e">
        <f t="shared" si="9"/>
        <v>#N/A</v>
      </c>
    </row>
    <row r="43" spans="2:11" ht="15.6">
      <c r="B43" s="5">
        <f>DATA!B43</f>
        <v>0</v>
      </c>
      <c r="C43" s="6" t="e">
        <f>VLOOKUP(B43,점포명!B:C,2,0)</f>
        <v>#N/A</v>
      </c>
      <c r="D43" s="5">
        <f>DATA!B43</f>
        <v>0</v>
      </c>
      <c r="E43" s="6" t="e">
        <f>VLOOKUP(D43,점포명!B:C,2,0)</f>
        <v>#N/A</v>
      </c>
      <c r="F43" s="7">
        <f>DATA!C43</f>
        <v>0</v>
      </c>
      <c r="G43" s="16" t="e">
        <f>VLOOKUP(F43,제품코드!A:C,2,0)</f>
        <v>#N/A</v>
      </c>
      <c r="H43" s="21">
        <f>DATA!D43</f>
        <v>0</v>
      </c>
      <c r="I43" s="17">
        <f>DATA!L43</f>
        <v>0</v>
      </c>
      <c r="J43" s="15" t="e">
        <f>VLOOKUP(G43,제품코드!B:D,3,0)</f>
        <v>#N/A</v>
      </c>
      <c r="K43" s="8" t="e">
        <f t="shared" si="9"/>
        <v>#N/A</v>
      </c>
    </row>
    <row r="44" spans="2:11" ht="15.6">
      <c r="B44" s="5">
        <f>DATA!B44</f>
        <v>0</v>
      </c>
      <c r="C44" s="6" t="e">
        <f>VLOOKUP(B44,점포명!B:C,2,0)</f>
        <v>#N/A</v>
      </c>
      <c r="D44" s="5">
        <f>DATA!B44</f>
        <v>0</v>
      </c>
      <c r="E44" s="6" t="e">
        <f>VLOOKUP(D44,점포명!B:C,2,0)</f>
        <v>#N/A</v>
      </c>
      <c r="F44" s="7">
        <f>DATA!C44</f>
        <v>0</v>
      </c>
      <c r="G44" s="16" t="e">
        <f>VLOOKUP(F44,제품코드!A:C,2,0)</f>
        <v>#N/A</v>
      </c>
      <c r="H44" s="21">
        <f>DATA!D44</f>
        <v>0</v>
      </c>
      <c r="I44" s="17">
        <f>DATA!L44</f>
        <v>0</v>
      </c>
      <c r="J44" s="15" t="e">
        <f>VLOOKUP(G44,제품코드!B:D,3,0)</f>
        <v>#N/A</v>
      </c>
      <c r="K44" s="8" t="e">
        <f t="shared" si="9"/>
        <v>#N/A</v>
      </c>
    </row>
    <row r="45" spans="2:11" ht="15.6">
      <c r="B45" s="5">
        <f>DATA!B45</f>
        <v>0</v>
      </c>
      <c r="C45" s="6" t="e">
        <f>VLOOKUP(B45,점포명!B:C,2,0)</f>
        <v>#N/A</v>
      </c>
      <c r="D45" s="5">
        <f>DATA!B45</f>
        <v>0</v>
      </c>
      <c r="E45" s="6" t="e">
        <f>VLOOKUP(D45,점포명!B:C,2,0)</f>
        <v>#N/A</v>
      </c>
      <c r="F45" s="7">
        <f>DATA!C45</f>
        <v>0</v>
      </c>
      <c r="G45" s="16" t="e">
        <f>VLOOKUP(F45,제품코드!A:C,2,0)</f>
        <v>#N/A</v>
      </c>
      <c r="H45" s="21">
        <f>DATA!D45</f>
        <v>0</v>
      </c>
      <c r="I45" s="17">
        <f>DATA!L45</f>
        <v>0</v>
      </c>
      <c r="J45" s="15" t="e">
        <f>VLOOKUP(G45,제품코드!B:D,3,0)</f>
        <v>#N/A</v>
      </c>
      <c r="K45" s="8" t="e">
        <f t="shared" si="9"/>
        <v>#N/A</v>
      </c>
    </row>
    <row r="46" spans="2:11" ht="15.6">
      <c r="B46" s="5">
        <f>DATA!B46</f>
        <v>0</v>
      </c>
      <c r="C46" s="6" t="e">
        <f>VLOOKUP(B46,점포명!B:C,2,0)</f>
        <v>#N/A</v>
      </c>
      <c r="D46" s="5">
        <f>DATA!B46</f>
        <v>0</v>
      </c>
      <c r="E46" s="6" t="e">
        <f>VLOOKUP(D46,점포명!B:C,2,0)</f>
        <v>#N/A</v>
      </c>
      <c r="F46" s="7">
        <f>DATA!C46</f>
        <v>0</v>
      </c>
      <c r="G46" s="16" t="e">
        <f>VLOOKUP(F46,제품코드!A:C,2,0)</f>
        <v>#N/A</v>
      </c>
      <c r="H46" s="21">
        <f>DATA!D46</f>
        <v>0</v>
      </c>
      <c r="I46" s="17">
        <f>DATA!L46</f>
        <v>0</v>
      </c>
      <c r="J46" s="15" t="e">
        <f>VLOOKUP(G46,제품코드!B:D,3,0)</f>
        <v>#N/A</v>
      </c>
      <c r="K46" s="8" t="e">
        <f t="shared" si="9"/>
        <v>#N/A</v>
      </c>
    </row>
    <row r="47" spans="2:11" ht="15.6">
      <c r="B47" s="5">
        <f>DATA!B47</f>
        <v>0</v>
      </c>
      <c r="C47" s="6" t="e">
        <f>VLOOKUP(B47,점포명!B:C,2,0)</f>
        <v>#N/A</v>
      </c>
      <c r="D47" s="5">
        <f>DATA!B47</f>
        <v>0</v>
      </c>
      <c r="E47" s="6" t="e">
        <f>VLOOKUP(D47,점포명!B:C,2,0)</f>
        <v>#N/A</v>
      </c>
      <c r="F47" s="7">
        <f>DATA!C47</f>
        <v>0</v>
      </c>
      <c r="G47" s="16" t="e">
        <f>VLOOKUP(F47,제품코드!A:C,2,0)</f>
        <v>#N/A</v>
      </c>
      <c r="H47" s="21">
        <f>DATA!D47</f>
        <v>0</v>
      </c>
      <c r="I47" s="17">
        <f>DATA!L47</f>
        <v>0</v>
      </c>
      <c r="J47" s="15" t="e">
        <f>VLOOKUP(G47,제품코드!B:D,3,0)</f>
        <v>#N/A</v>
      </c>
      <c r="K47" s="8" t="e">
        <f t="shared" si="9"/>
        <v>#N/A</v>
      </c>
    </row>
    <row r="48" spans="2:11" ht="15.6">
      <c r="B48" s="5">
        <f>DATA!B48</f>
        <v>0</v>
      </c>
      <c r="C48" s="6" t="e">
        <f>VLOOKUP(B48,점포명!B:C,2,0)</f>
        <v>#N/A</v>
      </c>
      <c r="D48" s="5">
        <f>DATA!B48</f>
        <v>0</v>
      </c>
      <c r="E48" s="6" t="e">
        <f>VLOOKUP(D48,점포명!B:C,2,0)</f>
        <v>#N/A</v>
      </c>
      <c r="F48" s="7">
        <f>DATA!C48</f>
        <v>0</v>
      </c>
      <c r="G48" s="16" t="e">
        <f>VLOOKUP(F48,제품코드!A:C,2,0)</f>
        <v>#N/A</v>
      </c>
      <c r="H48" s="21">
        <f>DATA!D48</f>
        <v>0</v>
      </c>
      <c r="I48" s="17">
        <f>DATA!L48</f>
        <v>0</v>
      </c>
      <c r="J48" s="15" t="e">
        <f>VLOOKUP(G48,제품코드!B:D,3,0)</f>
        <v>#N/A</v>
      </c>
      <c r="K48" s="8" t="e">
        <f t="shared" si="9"/>
        <v>#N/A</v>
      </c>
    </row>
    <row r="49" spans="2:11" ht="15.6">
      <c r="B49" s="5">
        <f>DATA!B49</f>
        <v>0</v>
      </c>
      <c r="C49" s="6" t="e">
        <f>VLOOKUP(B49,점포명!B:C,2,0)</f>
        <v>#N/A</v>
      </c>
      <c r="D49" s="5">
        <f>DATA!B49</f>
        <v>0</v>
      </c>
      <c r="E49" s="6" t="e">
        <f>VLOOKUP(D49,점포명!B:C,2,0)</f>
        <v>#N/A</v>
      </c>
      <c r="F49" s="7">
        <f>DATA!C49</f>
        <v>0</v>
      </c>
      <c r="G49" s="16" t="e">
        <f>VLOOKUP(F49,제품코드!A:C,2,0)</f>
        <v>#N/A</v>
      </c>
      <c r="H49" s="21"/>
      <c r="I49" s="17">
        <f>DATA!L49</f>
        <v>0</v>
      </c>
      <c r="J49" s="15" t="e">
        <f>VLOOKUP(G49,제품코드!B:D,3,0)</f>
        <v>#N/A</v>
      </c>
      <c r="K49" s="8" t="e">
        <f t="shared" si="9"/>
        <v>#N/A</v>
      </c>
    </row>
    <row r="50" spans="2:11" ht="15.6">
      <c r="B50" s="5">
        <f>DATA!B50</f>
        <v>0</v>
      </c>
      <c r="C50" s="6" t="e">
        <f>VLOOKUP(B50,점포명!B:C,2,0)</f>
        <v>#N/A</v>
      </c>
      <c r="D50" s="5">
        <f>DATA!B50</f>
        <v>0</v>
      </c>
      <c r="E50" s="6" t="e">
        <f>VLOOKUP(D50,점포명!B:C,2,0)</f>
        <v>#N/A</v>
      </c>
      <c r="F50" s="7">
        <f>DATA!C50</f>
        <v>0</v>
      </c>
      <c r="G50" s="16" t="e">
        <f>VLOOKUP(F50,제품코드!A:C,2,0)</f>
        <v>#N/A</v>
      </c>
      <c r="H50" s="21"/>
      <c r="I50" s="17">
        <f>DATA!L50</f>
        <v>0</v>
      </c>
      <c r="J50" s="15" t="e">
        <f>VLOOKUP(G50,제품코드!B:D,3,0)</f>
        <v>#N/A</v>
      </c>
      <c r="K50" s="8" t="e">
        <f t="shared" si="9"/>
        <v>#N/A</v>
      </c>
    </row>
    <row r="51" spans="2:11" ht="15.6">
      <c r="B51" s="5">
        <f>DATA!B51</f>
        <v>0</v>
      </c>
      <c r="C51" s="6" t="e">
        <f>VLOOKUP(B51,점포명!B:C,2,0)</f>
        <v>#N/A</v>
      </c>
      <c r="D51" s="5">
        <f>DATA!B51</f>
        <v>0</v>
      </c>
      <c r="E51" s="6" t="e">
        <f>VLOOKUP(D51,점포명!B:C,2,0)</f>
        <v>#N/A</v>
      </c>
      <c r="F51" s="7">
        <f>DATA!C51</f>
        <v>0</v>
      </c>
      <c r="G51" s="16" t="e">
        <f>VLOOKUP(F51,제품코드!A:C,2,0)</f>
        <v>#N/A</v>
      </c>
      <c r="H51" s="21"/>
      <c r="I51" s="17">
        <f>DATA!L51</f>
        <v>0</v>
      </c>
      <c r="J51" s="15" t="e">
        <f>VLOOKUP(G51,제품코드!B:D,3,0)</f>
        <v>#N/A</v>
      </c>
      <c r="K51" s="8" t="e">
        <f t="shared" si="9"/>
        <v>#N/A</v>
      </c>
    </row>
    <row r="52" spans="2:11" ht="15.6">
      <c r="B52" s="5">
        <f>DATA!B52</f>
        <v>0</v>
      </c>
      <c r="C52" s="6" t="e">
        <f>VLOOKUP(B52,점포명!B:C,2,0)</f>
        <v>#N/A</v>
      </c>
      <c r="D52" s="5">
        <f>DATA!B52</f>
        <v>0</v>
      </c>
      <c r="E52" s="6" t="e">
        <f>VLOOKUP(D52,점포명!B:C,2,0)</f>
        <v>#N/A</v>
      </c>
      <c r="F52" s="7">
        <f>DATA!C52</f>
        <v>0</v>
      </c>
      <c r="G52" s="16" t="e">
        <f>VLOOKUP(F52,제품코드!A:C,2,0)</f>
        <v>#N/A</v>
      </c>
      <c r="H52" s="21"/>
      <c r="I52" s="17">
        <f>DATA!L52</f>
        <v>0</v>
      </c>
      <c r="J52" s="15" t="e">
        <f>VLOOKUP(G52,제품코드!B:D,3,0)</f>
        <v>#N/A</v>
      </c>
      <c r="K52" s="8" t="e">
        <f t="shared" si="9"/>
        <v>#N/A</v>
      </c>
    </row>
    <row r="53" spans="2:11" ht="15.6">
      <c r="B53" s="5">
        <f>DATA!B53</f>
        <v>0</v>
      </c>
      <c r="C53" s="6" t="e">
        <f>VLOOKUP(B53,점포명!B:C,2,0)</f>
        <v>#N/A</v>
      </c>
      <c r="D53" s="5">
        <f>DATA!B53</f>
        <v>0</v>
      </c>
      <c r="E53" s="6" t="e">
        <f>VLOOKUP(D53,점포명!B:C,2,0)</f>
        <v>#N/A</v>
      </c>
      <c r="F53" s="7">
        <f>DATA!C53</f>
        <v>0</v>
      </c>
      <c r="G53" s="16" t="e">
        <f>VLOOKUP(F53,제품코드!A:C,2,0)</f>
        <v>#N/A</v>
      </c>
      <c r="H53" s="21"/>
      <c r="I53" s="17">
        <f>DATA!L53</f>
        <v>0</v>
      </c>
      <c r="J53" s="15" t="e">
        <f>VLOOKUP(G53,제품코드!B:D,3,0)</f>
        <v>#N/A</v>
      </c>
      <c r="K53" s="8" t="e">
        <f t="shared" si="9"/>
        <v>#N/A</v>
      </c>
    </row>
    <row r="54" spans="2:11" ht="15.6">
      <c r="B54" s="5">
        <f>DATA!B54</f>
        <v>0</v>
      </c>
      <c r="C54" s="6" t="e">
        <f>VLOOKUP(B54,점포명!B:C,2,0)</f>
        <v>#N/A</v>
      </c>
      <c r="D54" s="5">
        <f>DATA!B54</f>
        <v>0</v>
      </c>
      <c r="E54" s="6" t="e">
        <f>VLOOKUP(D54,점포명!B:C,2,0)</f>
        <v>#N/A</v>
      </c>
      <c r="F54" s="7">
        <f>DATA!C54</f>
        <v>0</v>
      </c>
      <c r="G54" s="16" t="e">
        <f>VLOOKUP(F54,제품코드!A:C,2,0)</f>
        <v>#N/A</v>
      </c>
      <c r="H54" s="21"/>
      <c r="I54" s="17">
        <f>DATA!L54</f>
        <v>0</v>
      </c>
      <c r="J54" s="15" t="e">
        <f>VLOOKUP(G54,제품코드!B:D,3,0)</f>
        <v>#N/A</v>
      </c>
      <c r="K54" s="8" t="e">
        <f t="shared" si="9"/>
        <v>#N/A</v>
      </c>
    </row>
    <row r="55" spans="2:11" ht="15.6">
      <c r="B55" s="5">
        <f>DATA!B55</f>
        <v>0</v>
      </c>
      <c r="C55" s="6" t="e">
        <f>VLOOKUP(B55,점포명!B:C,2,0)</f>
        <v>#N/A</v>
      </c>
      <c r="D55" s="5">
        <f>DATA!B55</f>
        <v>0</v>
      </c>
      <c r="E55" s="6" t="e">
        <f>VLOOKUP(D55,점포명!B:C,2,0)</f>
        <v>#N/A</v>
      </c>
      <c r="F55" s="7">
        <f>DATA!C55</f>
        <v>0</v>
      </c>
      <c r="G55" s="16" t="e">
        <f>VLOOKUP(F55,제품코드!A:C,2,0)</f>
        <v>#N/A</v>
      </c>
      <c r="H55" s="21"/>
      <c r="I55" s="17">
        <f>DATA!L55</f>
        <v>0</v>
      </c>
      <c r="J55" s="15" t="e">
        <f>VLOOKUP(G55,제품코드!B:D,3,0)</f>
        <v>#N/A</v>
      </c>
      <c r="K55" s="8" t="e">
        <f t="shared" si="9"/>
        <v>#N/A</v>
      </c>
    </row>
    <row r="56" spans="2:11" ht="15.6">
      <c r="B56" s="5">
        <f>DATA!B56</f>
        <v>0</v>
      </c>
      <c r="C56" s="6" t="e">
        <f>VLOOKUP(B56,점포명!B:C,2,0)</f>
        <v>#N/A</v>
      </c>
      <c r="D56" s="5">
        <f>DATA!B56</f>
        <v>0</v>
      </c>
      <c r="E56" s="6" t="e">
        <f>VLOOKUP(D56,점포명!B:C,2,0)</f>
        <v>#N/A</v>
      </c>
      <c r="F56" s="7">
        <f>DATA!C56</f>
        <v>0</v>
      </c>
      <c r="G56" s="16" t="e">
        <f>VLOOKUP(F56,제품코드!A:C,2,0)</f>
        <v>#N/A</v>
      </c>
      <c r="H56" s="21"/>
      <c r="I56" s="17">
        <f>DATA!L56</f>
        <v>0</v>
      </c>
      <c r="J56" s="15" t="e">
        <f>VLOOKUP(G56,제품코드!B:D,3,0)</f>
        <v>#N/A</v>
      </c>
      <c r="K56" s="8" t="e">
        <f t="shared" si="9"/>
        <v>#N/A</v>
      </c>
    </row>
    <row r="57" spans="2:11" ht="15.6">
      <c r="B57" s="5">
        <f>DATA!B57</f>
        <v>0</v>
      </c>
      <c r="C57" s="6" t="e">
        <f>VLOOKUP(B57,점포명!B:C,2,0)</f>
        <v>#N/A</v>
      </c>
      <c r="D57" s="5">
        <f>DATA!B57</f>
        <v>0</v>
      </c>
      <c r="E57" s="6" t="e">
        <f>VLOOKUP(D57,점포명!B:C,2,0)</f>
        <v>#N/A</v>
      </c>
      <c r="F57" s="7">
        <f>DATA!C57</f>
        <v>0</v>
      </c>
      <c r="G57" s="16" t="e">
        <f>VLOOKUP(F57,제품코드!A:C,2,0)</f>
        <v>#N/A</v>
      </c>
      <c r="H57" s="21"/>
      <c r="I57" s="17">
        <f>DATA!L57</f>
        <v>0</v>
      </c>
      <c r="J57" s="15" t="e">
        <f>VLOOKUP(G57,제품코드!B:D,3,0)</f>
        <v>#N/A</v>
      </c>
      <c r="K57" s="8" t="e">
        <f t="shared" si="9"/>
        <v>#N/A</v>
      </c>
    </row>
    <row r="58" spans="2:11" ht="15.6">
      <c r="B58" s="5">
        <f>DATA!B58</f>
        <v>0</v>
      </c>
      <c r="C58" s="6" t="e">
        <f>VLOOKUP(B58,점포명!B:C,2,0)</f>
        <v>#N/A</v>
      </c>
      <c r="D58" s="5">
        <f>DATA!B58</f>
        <v>0</v>
      </c>
      <c r="E58" s="6" t="e">
        <f>VLOOKUP(D58,점포명!B:C,2,0)</f>
        <v>#N/A</v>
      </c>
      <c r="F58" s="7">
        <f>DATA!C58</f>
        <v>0</v>
      </c>
      <c r="G58" s="16" t="e">
        <f>VLOOKUP(F58,제품코드!A:C,2,0)</f>
        <v>#N/A</v>
      </c>
      <c r="H58" s="21"/>
      <c r="I58" s="17">
        <f>DATA!L58</f>
        <v>0</v>
      </c>
      <c r="J58" s="15" t="e">
        <f>VLOOKUP(G58,제품코드!B:D,3,0)</f>
        <v>#N/A</v>
      </c>
      <c r="K58" s="8" t="e">
        <f t="shared" si="9"/>
        <v>#N/A</v>
      </c>
    </row>
    <row r="59" spans="2:11" ht="15.6">
      <c r="B59" s="5">
        <f>DATA!B59</f>
        <v>0</v>
      </c>
      <c r="C59" s="6" t="e">
        <f>VLOOKUP(B59,점포명!B:C,2,0)</f>
        <v>#N/A</v>
      </c>
      <c r="D59" s="5">
        <f>DATA!B59</f>
        <v>0</v>
      </c>
      <c r="E59" s="6" t="e">
        <f>VLOOKUP(D59,점포명!B:C,2,0)</f>
        <v>#N/A</v>
      </c>
      <c r="F59" s="7">
        <f>DATA!C59</f>
        <v>0</v>
      </c>
      <c r="G59" s="16" t="e">
        <f>VLOOKUP(F59,제품코드!A:C,2,0)</f>
        <v>#N/A</v>
      </c>
      <c r="H59" s="21"/>
      <c r="I59" s="17">
        <f>DATA!L59</f>
        <v>0</v>
      </c>
      <c r="J59" s="15" t="e">
        <f>VLOOKUP(G59,제품코드!B:D,3,0)</f>
        <v>#N/A</v>
      </c>
      <c r="K59" s="8" t="e">
        <f t="shared" si="9"/>
        <v>#N/A</v>
      </c>
    </row>
    <row r="60" spans="2:11" ht="15.6">
      <c r="B60" s="5">
        <f>DATA!B60</f>
        <v>0</v>
      </c>
      <c r="C60" s="6" t="e">
        <f>VLOOKUP(B60,점포명!B:C,2,0)</f>
        <v>#N/A</v>
      </c>
      <c r="D60" s="5">
        <f>DATA!B60</f>
        <v>0</v>
      </c>
      <c r="E60" s="6" t="e">
        <f>VLOOKUP(D60,점포명!B:C,2,0)</f>
        <v>#N/A</v>
      </c>
      <c r="F60" s="7">
        <f>DATA!C60</f>
        <v>0</v>
      </c>
      <c r="G60" s="16" t="e">
        <f>VLOOKUP(F60,제품코드!A:C,2,0)</f>
        <v>#N/A</v>
      </c>
      <c r="H60" s="21"/>
      <c r="I60" s="17">
        <f>DATA!L60</f>
        <v>0</v>
      </c>
      <c r="J60" s="15" t="e">
        <f>VLOOKUP(G60,제품코드!B:D,3,0)</f>
        <v>#N/A</v>
      </c>
      <c r="K60" s="8" t="e">
        <f t="shared" si="9"/>
        <v>#N/A</v>
      </c>
    </row>
    <row r="61" spans="2:11" ht="15.6">
      <c r="B61" s="5">
        <f>DATA!B61</f>
        <v>0</v>
      </c>
      <c r="C61" s="6" t="e">
        <f>VLOOKUP(B61,점포명!B:C,2,0)</f>
        <v>#N/A</v>
      </c>
      <c r="D61" s="5">
        <f>DATA!B61</f>
        <v>0</v>
      </c>
      <c r="E61" s="6" t="e">
        <f>VLOOKUP(D61,점포명!B:C,2,0)</f>
        <v>#N/A</v>
      </c>
      <c r="F61" s="7">
        <f>DATA!C61</f>
        <v>0</v>
      </c>
      <c r="G61" s="16" t="e">
        <f>VLOOKUP(F61,제품코드!A:C,2,0)</f>
        <v>#N/A</v>
      </c>
      <c r="H61" s="21"/>
      <c r="I61" s="17">
        <f>DATA!L61</f>
        <v>0</v>
      </c>
      <c r="J61" s="15" t="e">
        <f>VLOOKUP(G61,제품코드!B:D,3,0)</f>
        <v>#N/A</v>
      </c>
      <c r="K61" s="8" t="e">
        <f t="shared" si="9"/>
        <v>#N/A</v>
      </c>
    </row>
    <row r="62" spans="2:11" ht="15.6">
      <c r="B62" s="5">
        <f>DATA!B62</f>
        <v>0</v>
      </c>
      <c r="C62" s="6" t="e">
        <f>VLOOKUP(B62,점포명!B:C,2,0)</f>
        <v>#N/A</v>
      </c>
      <c r="D62" s="5">
        <f>DATA!B62</f>
        <v>0</v>
      </c>
      <c r="E62" s="6" t="e">
        <f>VLOOKUP(D62,점포명!B:C,2,0)</f>
        <v>#N/A</v>
      </c>
      <c r="F62" s="7">
        <f>DATA!C62</f>
        <v>0</v>
      </c>
      <c r="G62" s="16" t="e">
        <f>VLOOKUP(F62,제품코드!A:C,2,0)</f>
        <v>#N/A</v>
      </c>
      <c r="H62" s="21"/>
      <c r="I62" s="17">
        <f>DATA!L62</f>
        <v>0</v>
      </c>
      <c r="J62" s="15" t="e">
        <f>VLOOKUP(G62,제품코드!B:D,3,0)</f>
        <v>#N/A</v>
      </c>
      <c r="K62" s="8" t="e">
        <f t="shared" si="9"/>
        <v>#N/A</v>
      </c>
    </row>
    <row r="63" spans="2:11" ht="15.6">
      <c r="B63" s="5">
        <f>DATA!B63</f>
        <v>0</v>
      </c>
      <c r="C63" s="6" t="e">
        <f>VLOOKUP(B63,점포명!B:C,2,0)</f>
        <v>#N/A</v>
      </c>
      <c r="D63" s="5">
        <f>DATA!B63</f>
        <v>0</v>
      </c>
      <c r="E63" s="6" t="e">
        <f>VLOOKUP(D63,점포명!B:C,2,0)</f>
        <v>#N/A</v>
      </c>
      <c r="F63" s="7">
        <f>DATA!C63</f>
        <v>0</v>
      </c>
      <c r="G63" s="16" t="e">
        <f>VLOOKUP(F63,제품코드!A:C,2,0)</f>
        <v>#N/A</v>
      </c>
      <c r="H63" s="21"/>
      <c r="I63" s="17">
        <f>DATA!L63</f>
        <v>0</v>
      </c>
      <c r="J63" s="15" t="e">
        <f>VLOOKUP(G63,제품코드!B:D,3,0)</f>
        <v>#N/A</v>
      </c>
      <c r="K63" s="8" t="e">
        <f t="shared" si="9"/>
        <v>#N/A</v>
      </c>
    </row>
    <row r="64" spans="2:11" ht="15.6">
      <c r="B64" s="5">
        <f>DATA!B64</f>
        <v>0</v>
      </c>
      <c r="C64" s="6" t="e">
        <f>VLOOKUP(B64,점포명!B:C,2,0)</f>
        <v>#N/A</v>
      </c>
      <c r="D64" s="5">
        <f>DATA!B64</f>
        <v>0</v>
      </c>
      <c r="E64" s="6" t="e">
        <f>VLOOKUP(D64,점포명!B:C,2,0)</f>
        <v>#N/A</v>
      </c>
      <c r="F64" s="7">
        <f>DATA!C64</f>
        <v>0</v>
      </c>
      <c r="G64" s="16" t="e">
        <f>VLOOKUP(F64,제품코드!A:C,2,0)</f>
        <v>#N/A</v>
      </c>
      <c r="H64" s="21"/>
      <c r="I64" s="17">
        <f>DATA!L64</f>
        <v>0</v>
      </c>
      <c r="J64" s="15" t="e">
        <f>VLOOKUP(G64,제품코드!B:D,3,0)</f>
        <v>#N/A</v>
      </c>
      <c r="K64" s="8" t="e">
        <f t="shared" si="9"/>
        <v>#N/A</v>
      </c>
    </row>
    <row r="65" spans="2:11" ht="15.6">
      <c r="B65" s="5">
        <f>DATA!B65</f>
        <v>0</v>
      </c>
      <c r="C65" s="6" t="e">
        <f>VLOOKUP(B65,점포명!B:C,2,0)</f>
        <v>#N/A</v>
      </c>
      <c r="D65" s="5">
        <f>DATA!B65</f>
        <v>0</v>
      </c>
      <c r="E65" s="6" t="e">
        <f>VLOOKUP(D65,점포명!B:C,2,0)</f>
        <v>#N/A</v>
      </c>
      <c r="F65" s="7">
        <f>DATA!C65</f>
        <v>0</v>
      </c>
      <c r="G65" s="16" t="e">
        <f>VLOOKUP(F65,제품코드!A:C,2,0)</f>
        <v>#N/A</v>
      </c>
      <c r="H65" s="21"/>
      <c r="I65" s="17">
        <f>DATA!L65</f>
        <v>0</v>
      </c>
      <c r="J65" s="15" t="e">
        <f>VLOOKUP(G65,제품코드!B:D,3,0)</f>
        <v>#N/A</v>
      </c>
      <c r="K65" s="8" t="e">
        <f t="shared" si="9"/>
        <v>#N/A</v>
      </c>
    </row>
    <row r="66" spans="2:11" ht="15.6">
      <c r="B66" s="5">
        <f>DATA!B66</f>
        <v>0</v>
      </c>
      <c r="C66" s="6" t="e">
        <f>VLOOKUP(B66,점포명!B:C,2,0)</f>
        <v>#N/A</v>
      </c>
      <c r="D66" s="5">
        <f>DATA!B66</f>
        <v>0</v>
      </c>
      <c r="E66" s="6" t="e">
        <f>VLOOKUP(D66,점포명!B:C,2,0)</f>
        <v>#N/A</v>
      </c>
      <c r="F66" s="7">
        <f>DATA!C66</f>
        <v>0</v>
      </c>
      <c r="G66" s="16" t="e">
        <f>VLOOKUP(F66,제품코드!A:C,2,0)</f>
        <v>#N/A</v>
      </c>
      <c r="H66" s="21"/>
      <c r="I66" s="17">
        <f>DATA!L66</f>
        <v>0</v>
      </c>
      <c r="J66" s="15" t="e">
        <f>VLOOKUP(G66,제품코드!B:D,3,0)</f>
        <v>#N/A</v>
      </c>
      <c r="K66" s="8" t="e">
        <f t="shared" si="9"/>
        <v>#N/A</v>
      </c>
    </row>
    <row r="67" spans="2:11" ht="15.6">
      <c r="B67" s="5">
        <f>DATA!B67</f>
        <v>0</v>
      </c>
      <c r="C67" s="6" t="e">
        <f>VLOOKUP(B67,점포명!B:C,2,0)</f>
        <v>#N/A</v>
      </c>
      <c r="D67" s="5">
        <f>DATA!B67</f>
        <v>0</v>
      </c>
      <c r="E67" s="6" t="e">
        <f>VLOOKUP(D67,점포명!B:C,2,0)</f>
        <v>#N/A</v>
      </c>
      <c r="F67" s="7">
        <f>DATA!C67</f>
        <v>0</v>
      </c>
      <c r="G67" s="16" t="e">
        <f>VLOOKUP(F67,제품코드!A:C,2,0)</f>
        <v>#N/A</v>
      </c>
      <c r="H67" s="21"/>
      <c r="I67" s="17">
        <f>DATA!L67</f>
        <v>0</v>
      </c>
      <c r="J67" s="15" t="e">
        <f>VLOOKUP(G67,제품코드!B:D,3,0)</f>
        <v>#N/A</v>
      </c>
      <c r="K67" s="8" t="e">
        <f t="shared" ref="K67:K130" si="10">I67*J67</f>
        <v>#N/A</v>
      </c>
    </row>
    <row r="68" spans="2:11" ht="15.6">
      <c r="B68" s="5">
        <f>DATA!B68</f>
        <v>0</v>
      </c>
      <c r="C68" s="6" t="e">
        <f>VLOOKUP(B68,점포명!B:C,2,0)</f>
        <v>#N/A</v>
      </c>
      <c r="D68" s="5">
        <f>DATA!B68</f>
        <v>0</v>
      </c>
      <c r="E68" s="6" t="e">
        <f>VLOOKUP(D68,점포명!B:C,2,0)</f>
        <v>#N/A</v>
      </c>
      <c r="F68" s="7">
        <f>DATA!C68</f>
        <v>0</v>
      </c>
      <c r="G68" s="16" t="e">
        <f>VLOOKUP(F68,제품코드!A:C,2,0)</f>
        <v>#N/A</v>
      </c>
      <c r="H68" s="21"/>
      <c r="I68" s="17">
        <f>DATA!L68</f>
        <v>0</v>
      </c>
      <c r="J68" s="15" t="e">
        <f>VLOOKUP(G68,제품코드!B:D,3,0)</f>
        <v>#N/A</v>
      </c>
      <c r="K68" s="8" t="e">
        <f t="shared" si="10"/>
        <v>#N/A</v>
      </c>
    </row>
    <row r="69" spans="2:11" ht="15.6">
      <c r="B69" s="5">
        <f>DATA!B69</f>
        <v>0</v>
      </c>
      <c r="C69" s="6" t="e">
        <f>VLOOKUP(B69,점포명!B:C,2,0)</f>
        <v>#N/A</v>
      </c>
      <c r="D69" s="5">
        <f>DATA!B69</f>
        <v>0</v>
      </c>
      <c r="E69" s="6" t="e">
        <f>VLOOKUP(D69,점포명!B:C,2,0)</f>
        <v>#N/A</v>
      </c>
      <c r="F69" s="7">
        <f>DATA!C69</f>
        <v>0</v>
      </c>
      <c r="G69" s="16" t="e">
        <f>VLOOKUP(F69,제품코드!A:C,2,0)</f>
        <v>#N/A</v>
      </c>
      <c r="H69" s="21"/>
      <c r="I69" s="17">
        <f>DATA!L69</f>
        <v>0</v>
      </c>
      <c r="J69" s="15" t="e">
        <f>VLOOKUP(G69,제품코드!B:D,3,0)</f>
        <v>#N/A</v>
      </c>
      <c r="K69" s="8" t="e">
        <f t="shared" si="10"/>
        <v>#N/A</v>
      </c>
    </row>
    <row r="70" spans="2:11" ht="15.6">
      <c r="B70" s="5">
        <f>DATA!B70</f>
        <v>0</v>
      </c>
      <c r="C70" s="6" t="e">
        <f>VLOOKUP(B70,점포명!B:C,2,0)</f>
        <v>#N/A</v>
      </c>
      <c r="D70" s="5">
        <f>DATA!B70</f>
        <v>0</v>
      </c>
      <c r="E70" s="6" t="e">
        <f>VLOOKUP(D70,점포명!B:C,2,0)</f>
        <v>#N/A</v>
      </c>
      <c r="F70" s="7">
        <f>DATA!C70</f>
        <v>0</v>
      </c>
      <c r="G70" s="16" t="e">
        <f>VLOOKUP(F70,제품코드!A:C,2,0)</f>
        <v>#N/A</v>
      </c>
      <c r="H70" s="21"/>
      <c r="I70" s="17">
        <f>DATA!L70</f>
        <v>0</v>
      </c>
      <c r="J70" s="15" t="e">
        <f>VLOOKUP(G70,제품코드!B:D,3,0)</f>
        <v>#N/A</v>
      </c>
      <c r="K70" s="8" t="e">
        <f t="shared" si="10"/>
        <v>#N/A</v>
      </c>
    </row>
    <row r="71" spans="2:11" ht="15.6">
      <c r="B71" s="5">
        <f>DATA!B71</f>
        <v>0</v>
      </c>
      <c r="C71" s="6" t="e">
        <f>VLOOKUP(B71,점포명!B:C,2,0)</f>
        <v>#N/A</v>
      </c>
      <c r="D71" s="5">
        <f>DATA!B71</f>
        <v>0</v>
      </c>
      <c r="E71" s="6" t="e">
        <f>VLOOKUP(D71,점포명!B:C,2,0)</f>
        <v>#N/A</v>
      </c>
      <c r="F71" s="7">
        <f>DATA!C71</f>
        <v>0</v>
      </c>
      <c r="G71" s="16" t="e">
        <f>VLOOKUP(F71,제품코드!A:C,2,0)</f>
        <v>#N/A</v>
      </c>
      <c r="H71" s="21"/>
      <c r="I71" s="17">
        <f>DATA!L71</f>
        <v>0</v>
      </c>
      <c r="J71" s="15" t="e">
        <f>VLOOKUP(G71,제품코드!B:D,3,0)</f>
        <v>#N/A</v>
      </c>
      <c r="K71" s="8" t="e">
        <f t="shared" si="10"/>
        <v>#N/A</v>
      </c>
    </row>
    <row r="72" spans="2:11" ht="15.6">
      <c r="B72" s="5">
        <f>DATA!B72</f>
        <v>0</v>
      </c>
      <c r="C72" s="6" t="e">
        <f>VLOOKUP(B72,점포명!B:C,2,0)</f>
        <v>#N/A</v>
      </c>
      <c r="D72" s="5">
        <f>DATA!B72</f>
        <v>0</v>
      </c>
      <c r="E72" s="6" t="e">
        <f>VLOOKUP(D72,점포명!B:C,2,0)</f>
        <v>#N/A</v>
      </c>
      <c r="F72" s="7">
        <f>DATA!C72</f>
        <v>0</v>
      </c>
      <c r="G72" s="16" t="e">
        <f>VLOOKUP(F72,제품코드!A:C,2,0)</f>
        <v>#N/A</v>
      </c>
      <c r="H72" s="21"/>
      <c r="I72" s="17">
        <f>DATA!L72</f>
        <v>0</v>
      </c>
      <c r="J72" s="15" t="e">
        <f>VLOOKUP(G72,제품코드!B:D,3,0)</f>
        <v>#N/A</v>
      </c>
      <c r="K72" s="8" t="e">
        <f t="shared" si="10"/>
        <v>#N/A</v>
      </c>
    </row>
    <row r="73" spans="2:11" ht="15.6">
      <c r="B73" s="5">
        <f>DATA!B73</f>
        <v>0</v>
      </c>
      <c r="C73" s="6" t="e">
        <f>VLOOKUP(B73,점포명!B:C,2,0)</f>
        <v>#N/A</v>
      </c>
      <c r="D73" s="5">
        <f>DATA!B73</f>
        <v>0</v>
      </c>
      <c r="E73" s="6" t="e">
        <f>VLOOKUP(D73,점포명!B:C,2,0)</f>
        <v>#N/A</v>
      </c>
      <c r="F73" s="7">
        <f>DATA!C73</f>
        <v>0</v>
      </c>
      <c r="G73" s="16" t="e">
        <f>VLOOKUP(F73,제품코드!A:C,2,0)</f>
        <v>#N/A</v>
      </c>
      <c r="H73" s="21"/>
      <c r="I73" s="17">
        <f>DATA!L73</f>
        <v>0</v>
      </c>
      <c r="J73" s="15" t="e">
        <f>VLOOKUP(G73,제품코드!B:D,3,0)</f>
        <v>#N/A</v>
      </c>
      <c r="K73" s="8" t="e">
        <f t="shared" si="10"/>
        <v>#N/A</v>
      </c>
    </row>
    <row r="74" spans="2:11" ht="15.6">
      <c r="B74" s="5">
        <f>DATA!B74</f>
        <v>0</v>
      </c>
      <c r="C74" s="6" t="e">
        <f>VLOOKUP(B74,점포명!B:C,2,0)</f>
        <v>#N/A</v>
      </c>
      <c r="D74" s="5">
        <f>DATA!B74</f>
        <v>0</v>
      </c>
      <c r="E74" s="6" t="e">
        <f>VLOOKUP(D74,점포명!B:C,2,0)</f>
        <v>#N/A</v>
      </c>
      <c r="F74" s="7">
        <f>DATA!C74</f>
        <v>0</v>
      </c>
      <c r="G74" s="16" t="e">
        <f>VLOOKUP(F74,제품코드!A:C,2,0)</f>
        <v>#N/A</v>
      </c>
      <c r="H74" s="21"/>
      <c r="I74" s="17">
        <f>DATA!L74</f>
        <v>0</v>
      </c>
      <c r="J74" s="15" t="e">
        <f>VLOOKUP(G74,제품코드!B:D,3,0)</f>
        <v>#N/A</v>
      </c>
      <c r="K74" s="8" t="e">
        <f t="shared" si="10"/>
        <v>#N/A</v>
      </c>
    </row>
    <row r="75" spans="2:11" ht="15.6">
      <c r="B75" s="5">
        <f>DATA!B75</f>
        <v>0</v>
      </c>
      <c r="C75" s="6" t="e">
        <f>VLOOKUP(B75,점포명!B:C,2,0)</f>
        <v>#N/A</v>
      </c>
      <c r="D75" s="5">
        <f>DATA!B75</f>
        <v>0</v>
      </c>
      <c r="E75" s="6" t="e">
        <f>VLOOKUP(D75,점포명!B:C,2,0)</f>
        <v>#N/A</v>
      </c>
      <c r="F75" s="7">
        <f>DATA!C75</f>
        <v>0</v>
      </c>
      <c r="G75" s="16" t="e">
        <f>VLOOKUP(F75,제품코드!A:C,2,0)</f>
        <v>#N/A</v>
      </c>
      <c r="H75" s="21"/>
      <c r="I75" s="17">
        <f>DATA!L75</f>
        <v>0</v>
      </c>
      <c r="J75" s="15" t="e">
        <f>VLOOKUP(G75,제품코드!B:D,3,0)</f>
        <v>#N/A</v>
      </c>
      <c r="K75" s="8" t="e">
        <f t="shared" si="10"/>
        <v>#N/A</v>
      </c>
    </row>
    <row r="76" spans="2:11" ht="15.6">
      <c r="B76" s="5">
        <f>DATA!B76</f>
        <v>0</v>
      </c>
      <c r="C76" s="6" t="e">
        <f>VLOOKUP(B76,점포명!B:C,2,0)</f>
        <v>#N/A</v>
      </c>
      <c r="D76" s="5">
        <f>DATA!B76</f>
        <v>0</v>
      </c>
      <c r="E76" s="6" t="e">
        <f>VLOOKUP(D76,점포명!B:C,2,0)</f>
        <v>#N/A</v>
      </c>
      <c r="F76" s="7">
        <f>DATA!C76</f>
        <v>0</v>
      </c>
      <c r="G76" s="16" t="e">
        <f>VLOOKUP(F76,제품코드!A:C,2,0)</f>
        <v>#N/A</v>
      </c>
      <c r="H76" s="21"/>
      <c r="I76" s="17">
        <f>DATA!L76</f>
        <v>0</v>
      </c>
      <c r="J76" s="15" t="e">
        <f>VLOOKUP(G76,제품코드!B:D,3,0)</f>
        <v>#N/A</v>
      </c>
      <c r="K76" s="8" t="e">
        <f t="shared" si="10"/>
        <v>#N/A</v>
      </c>
    </row>
    <row r="77" spans="2:11" ht="15.6">
      <c r="B77" s="5">
        <f>DATA!B77</f>
        <v>0</v>
      </c>
      <c r="C77" s="6" t="e">
        <f>VLOOKUP(B77,점포명!B:C,2,0)</f>
        <v>#N/A</v>
      </c>
      <c r="D77" s="5">
        <f>DATA!B77</f>
        <v>0</v>
      </c>
      <c r="E77" s="6" t="e">
        <f>VLOOKUP(D77,점포명!B:C,2,0)</f>
        <v>#N/A</v>
      </c>
      <c r="F77" s="7">
        <f>DATA!C77</f>
        <v>0</v>
      </c>
      <c r="G77" s="16" t="e">
        <f>VLOOKUP(F77,제품코드!A:C,2,0)</f>
        <v>#N/A</v>
      </c>
      <c r="H77" s="21"/>
      <c r="I77" s="17">
        <f>DATA!L77</f>
        <v>0</v>
      </c>
      <c r="J77" s="15" t="e">
        <f>VLOOKUP(G77,제품코드!B:D,3,0)</f>
        <v>#N/A</v>
      </c>
      <c r="K77" s="8" t="e">
        <f t="shared" si="10"/>
        <v>#N/A</v>
      </c>
    </row>
    <row r="78" spans="2:11" ht="15.6">
      <c r="B78" s="5">
        <f>DATA!B78</f>
        <v>0</v>
      </c>
      <c r="C78" s="6" t="e">
        <f>VLOOKUP(B78,점포명!B:C,2,0)</f>
        <v>#N/A</v>
      </c>
      <c r="D78" s="5">
        <f>DATA!B78</f>
        <v>0</v>
      </c>
      <c r="E78" s="6" t="e">
        <f>VLOOKUP(D78,점포명!B:C,2,0)</f>
        <v>#N/A</v>
      </c>
      <c r="F78" s="7">
        <f>DATA!C78</f>
        <v>0</v>
      </c>
      <c r="G78" s="16" t="e">
        <f>VLOOKUP(F78,제품코드!A:C,2,0)</f>
        <v>#N/A</v>
      </c>
      <c r="H78" s="21"/>
      <c r="I78" s="17">
        <f>DATA!L78</f>
        <v>0</v>
      </c>
      <c r="J78" s="15" t="e">
        <f>VLOOKUP(G78,제품코드!B:D,3,0)</f>
        <v>#N/A</v>
      </c>
      <c r="K78" s="8" t="e">
        <f t="shared" si="10"/>
        <v>#N/A</v>
      </c>
    </row>
    <row r="79" spans="2:11" ht="15.6">
      <c r="B79" s="5">
        <f>DATA!B79</f>
        <v>0</v>
      </c>
      <c r="C79" s="6" t="e">
        <f>VLOOKUP(B79,점포명!B:C,2,0)</f>
        <v>#N/A</v>
      </c>
      <c r="D79" s="5">
        <f>DATA!B79</f>
        <v>0</v>
      </c>
      <c r="E79" s="6" t="e">
        <f>VLOOKUP(D79,점포명!B:C,2,0)</f>
        <v>#N/A</v>
      </c>
      <c r="F79" s="7">
        <f>DATA!C79</f>
        <v>0</v>
      </c>
      <c r="G79" s="16" t="e">
        <f>VLOOKUP(F79,제품코드!A:C,2,0)</f>
        <v>#N/A</v>
      </c>
      <c r="H79" s="21"/>
      <c r="I79" s="17">
        <f>DATA!L79</f>
        <v>0</v>
      </c>
      <c r="J79" s="15" t="e">
        <f>VLOOKUP(G79,제품코드!B:D,3,0)</f>
        <v>#N/A</v>
      </c>
      <c r="K79" s="8" t="e">
        <f t="shared" si="10"/>
        <v>#N/A</v>
      </c>
    </row>
    <row r="80" spans="2:11" ht="15.6">
      <c r="B80" s="5">
        <f>DATA!B80</f>
        <v>0</v>
      </c>
      <c r="C80" s="6" t="e">
        <f>VLOOKUP(B80,점포명!B:C,2,0)</f>
        <v>#N/A</v>
      </c>
      <c r="D80" s="5">
        <f>DATA!B80</f>
        <v>0</v>
      </c>
      <c r="E80" s="6" t="e">
        <f>VLOOKUP(D80,점포명!B:C,2,0)</f>
        <v>#N/A</v>
      </c>
      <c r="F80" s="7">
        <f>DATA!C80</f>
        <v>0</v>
      </c>
      <c r="G80" s="16" t="e">
        <f>VLOOKUP(F80,제품코드!A:C,2,0)</f>
        <v>#N/A</v>
      </c>
      <c r="H80" s="21"/>
      <c r="I80" s="17">
        <f>DATA!L80</f>
        <v>0</v>
      </c>
      <c r="J80" s="15" t="e">
        <f>VLOOKUP(G80,제품코드!B:D,3,0)</f>
        <v>#N/A</v>
      </c>
      <c r="K80" s="8" t="e">
        <f t="shared" si="10"/>
        <v>#N/A</v>
      </c>
    </row>
    <row r="81" spans="2:11" ht="15.6">
      <c r="B81" s="5">
        <f>DATA!B81</f>
        <v>0</v>
      </c>
      <c r="C81" s="6" t="e">
        <f>VLOOKUP(B81,점포명!B:C,2,0)</f>
        <v>#N/A</v>
      </c>
      <c r="D81" s="5">
        <f>DATA!B81</f>
        <v>0</v>
      </c>
      <c r="E81" s="6" t="e">
        <f>VLOOKUP(D81,점포명!B:C,2,0)</f>
        <v>#N/A</v>
      </c>
      <c r="F81" s="7">
        <f>DATA!C81</f>
        <v>0</v>
      </c>
      <c r="G81" s="16" t="e">
        <f>VLOOKUP(F81,제품코드!A:C,2,0)</f>
        <v>#N/A</v>
      </c>
      <c r="H81" s="21"/>
      <c r="I81" s="17">
        <f>DATA!L81</f>
        <v>0</v>
      </c>
      <c r="J81" s="15" t="e">
        <f>VLOOKUP(G81,제품코드!B:D,3,0)</f>
        <v>#N/A</v>
      </c>
      <c r="K81" s="8" t="e">
        <f t="shared" si="10"/>
        <v>#N/A</v>
      </c>
    </row>
    <row r="82" spans="2:11" ht="15.6">
      <c r="B82" s="5">
        <f>DATA!B82</f>
        <v>0</v>
      </c>
      <c r="C82" s="6" t="e">
        <f>VLOOKUP(B82,점포명!B:C,2,0)</f>
        <v>#N/A</v>
      </c>
      <c r="D82" s="5">
        <f>DATA!B82</f>
        <v>0</v>
      </c>
      <c r="E82" s="6" t="e">
        <f>VLOOKUP(D82,점포명!B:C,2,0)</f>
        <v>#N/A</v>
      </c>
      <c r="F82" s="7">
        <f>DATA!C82</f>
        <v>0</v>
      </c>
      <c r="G82" s="16" t="e">
        <f>VLOOKUP(F82,제품코드!A:C,2,0)</f>
        <v>#N/A</v>
      </c>
      <c r="H82" s="21"/>
      <c r="I82" s="17">
        <f>DATA!L82</f>
        <v>0</v>
      </c>
      <c r="J82" s="15" t="e">
        <f>VLOOKUP(G82,제품코드!B:D,3,0)</f>
        <v>#N/A</v>
      </c>
      <c r="K82" s="8" t="e">
        <f t="shared" si="10"/>
        <v>#N/A</v>
      </c>
    </row>
    <row r="83" spans="2:11" ht="15.6">
      <c r="B83" s="5">
        <f>DATA!B83</f>
        <v>0</v>
      </c>
      <c r="C83" s="6" t="e">
        <f>VLOOKUP(B83,점포명!B:C,2,0)</f>
        <v>#N/A</v>
      </c>
      <c r="D83" s="5">
        <f>DATA!B83</f>
        <v>0</v>
      </c>
      <c r="E83" s="6" t="e">
        <f>VLOOKUP(D83,점포명!B:C,2,0)</f>
        <v>#N/A</v>
      </c>
      <c r="F83" s="7">
        <f>DATA!C83</f>
        <v>0</v>
      </c>
      <c r="G83" s="16" t="e">
        <f>VLOOKUP(F83,제품코드!A:C,2,0)</f>
        <v>#N/A</v>
      </c>
      <c r="H83" s="21"/>
      <c r="I83" s="17">
        <f>DATA!L83</f>
        <v>0</v>
      </c>
      <c r="J83" s="15" t="e">
        <f>VLOOKUP(G83,제품코드!B:D,3,0)</f>
        <v>#N/A</v>
      </c>
      <c r="K83" s="8" t="e">
        <f t="shared" si="10"/>
        <v>#N/A</v>
      </c>
    </row>
    <row r="84" spans="2:11" ht="15.6">
      <c r="B84" s="5">
        <f>DATA!B84</f>
        <v>0</v>
      </c>
      <c r="C84" s="6" t="e">
        <f>VLOOKUP(B84,점포명!B:C,2,0)</f>
        <v>#N/A</v>
      </c>
      <c r="D84" s="5">
        <f>DATA!B84</f>
        <v>0</v>
      </c>
      <c r="E84" s="6" t="e">
        <f>VLOOKUP(D84,점포명!B:C,2,0)</f>
        <v>#N/A</v>
      </c>
      <c r="F84" s="7">
        <f>DATA!C84</f>
        <v>0</v>
      </c>
      <c r="G84" s="16" t="e">
        <f>VLOOKUP(F84,제품코드!A:C,2,0)</f>
        <v>#N/A</v>
      </c>
      <c r="H84" s="21"/>
      <c r="I84" s="17">
        <f>DATA!L84</f>
        <v>0</v>
      </c>
      <c r="J84" s="15" t="e">
        <f>VLOOKUP(G84,제품코드!B:D,3,0)</f>
        <v>#N/A</v>
      </c>
      <c r="K84" s="8" t="e">
        <f t="shared" si="10"/>
        <v>#N/A</v>
      </c>
    </row>
    <row r="85" spans="2:11" ht="15.6">
      <c r="B85" s="5">
        <f>DATA!B85</f>
        <v>0</v>
      </c>
      <c r="C85" s="6" t="e">
        <f>VLOOKUP(B85,점포명!B:C,2,0)</f>
        <v>#N/A</v>
      </c>
      <c r="D85" s="5">
        <f>DATA!B85</f>
        <v>0</v>
      </c>
      <c r="E85" s="6" t="e">
        <f>VLOOKUP(D85,점포명!B:C,2,0)</f>
        <v>#N/A</v>
      </c>
      <c r="F85" s="7">
        <f>DATA!C85</f>
        <v>0</v>
      </c>
      <c r="G85" s="16" t="e">
        <f>VLOOKUP(F85,제품코드!A:C,2,0)</f>
        <v>#N/A</v>
      </c>
      <c r="H85" s="21"/>
      <c r="I85" s="17">
        <f>DATA!L85</f>
        <v>0</v>
      </c>
      <c r="J85" s="15" t="e">
        <f>VLOOKUP(G85,제품코드!B:D,3,0)</f>
        <v>#N/A</v>
      </c>
      <c r="K85" s="8" t="e">
        <f t="shared" si="10"/>
        <v>#N/A</v>
      </c>
    </row>
    <row r="86" spans="2:11" ht="15.6">
      <c r="B86" s="5">
        <f>DATA!B86</f>
        <v>0</v>
      </c>
      <c r="C86" s="6" t="e">
        <f>VLOOKUP(B86,점포명!B:C,2,0)</f>
        <v>#N/A</v>
      </c>
      <c r="D86" s="5">
        <f>DATA!B86</f>
        <v>0</v>
      </c>
      <c r="E86" s="6" t="e">
        <f>VLOOKUP(D86,점포명!B:C,2,0)</f>
        <v>#N/A</v>
      </c>
      <c r="F86" s="7">
        <f>DATA!C86</f>
        <v>0</v>
      </c>
      <c r="G86" s="16" t="e">
        <f>VLOOKUP(F86,제품코드!A:C,2,0)</f>
        <v>#N/A</v>
      </c>
      <c r="H86" s="21"/>
      <c r="I86" s="17">
        <f>DATA!L86</f>
        <v>0</v>
      </c>
      <c r="J86" s="15" t="e">
        <f>VLOOKUP(G86,제품코드!B:D,3,0)</f>
        <v>#N/A</v>
      </c>
      <c r="K86" s="8" t="e">
        <f t="shared" si="10"/>
        <v>#N/A</v>
      </c>
    </row>
    <row r="87" spans="2:11" ht="15.6">
      <c r="B87" s="5">
        <f>DATA!B87</f>
        <v>0</v>
      </c>
      <c r="C87" s="6" t="e">
        <f>VLOOKUP(B87,점포명!B:C,2,0)</f>
        <v>#N/A</v>
      </c>
      <c r="D87" s="5">
        <f>DATA!B87</f>
        <v>0</v>
      </c>
      <c r="E87" s="6" t="e">
        <f>VLOOKUP(D87,점포명!B:C,2,0)</f>
        <v>#N/A</v>
      </c>
      <c r="F87" s="7">
        <f>DATA!C87</f>
        <v>0</v>
      </c>
      <c r="G87" s="16" t="e">
        <f>VLOOKUP(F87,제품코드!A:C,2,0)</f>
        <v>#N/A</v>
      </c>
      <c r="H87" s="21"/>
      <c r="I87" s="17">
        <f>DATA!L87</f>
        <v>0</v>
      </c>
      <c r="J87" s="15" t="e">
        <f>VLOOKUP(G87,제품코드!B:D,3,0)</f>
        <v>#N/A</v>
      </c>
      <c r="K87" s="8" t="e">
        <f t="shared" si="10"/>
        <v>#N/A</v>
      </c>
    </row>
    <row r="88" spans="2:11" ht="15.6">
      <c r="B88" s="5">
        <f>DATA!B88</f>
        <v>0</v>
      </c>
      <c r="C88" s="6" t="e">
        <f>VLOOKUP(B88,점포명!B:C,2,0)</f>
        <v>#N/A</v>
      </c>
      <c r="D88" s="5">
        <f>DATA!B88</f>
        <v>0</v>
      </c>
      <c r="E88" s="6" t="e">
        <f>VLOOKUP(D88,점포명!B:C,2,0)</f>
        <v>#N/A</v>
      </c>
      <c r="F88" s="7">
        <f>DATA!C88</f>
        <v>0</v>
      </c>
      <c r="G88" s="16" t="e">
        <f>VLOOKUP(F88,제품코드!A:C,2,0)</f>
        <v>#N/A</v>
      </c>
      <c r="H88" s="21"/>
      <c r="I88" s="17">
        <f>DATA!L88</f>
        <v>0</v>
      </c>
      <c r="J88" s="15" t="e">
        <f>VLOOKUP(G88,제품코드!B:D,3,0)</f>
        <v>#N/A</v>
      </c>
      <c r="K88" s="8" t="e">
        <f t="shared" si="10"/>
        <v>#N/A</v>
      </c>
    </row>
    <row r="89" spans="2:11" ht="15.6">
      <c r="B89" s="5">
        <f>DATA!B89</f>
        <v>0</v>
      </c>
      <c r="C89" s="6" t="e">
        <f>VLOOKUP(B89,점포명!B:C,2,0)</f>
        <v>#N/A</v>
      </c>
      <c r="D89" s="5">
        <f>DATA!B89</f>
        <v>0</v>
      </c>
      <c r="E89" s="6" t="e">
        <f>VLOOKUP(D89,점포명!B:C,2,0)</f>
        <v>#N/A</v>
      </c>
      <c r="F89" s="7">
        <f>DATA!C89</f>
        <v>0</v>
      </c>
      <c r="G89" s="16" t="e">
        <f>VLOOKUP(F89,제품코드!A:C,2,0)</f>
        <v>#N/A</v>
      </c>
      <c r="H89" s="21"/>
      <c r="I89" s="17">
        <f>DATA!L89</f>
        <v>0</v>
      </c>
      <c r="J89" s="15" t="e">
        <f>VLOOKUP(G89,제품코드!B:D,3,0)</f>
        <v>#N/A</v>
      </c>
      <c r="K89" s="8" t="e">
        <f t="shared" si="10"/>
        <v>#N/A</v>
      </c>
    </row>
    <row r="90" spans="2:11" ht="15.6">
      <c r="B90" s="5">
        <f>DATA!B90</f>
        <v>0</v>
      </c>
      <c r="C90" s="6" t="e">
        <f>VLOOKUP(B90,점포명!B:C,2,0)</f>
        <v>#N/A</v>
      </c>
      <c r="D90" s="5">
        <f>DATA!B90</f>
        <v>0</v>
      </c>
      <c r="E90" s="6" t="e">
        <f>VLOOKUP(D90,점포명!B:C,2,0)</f>
        <v>#N/A</v>
      </c>
      <c r="F90" s="7">
        <f>DATA!C90</f>
        <v>0</v>
      </c>
      <c r="G90" s="16" t="e">
        <f>VLOOKUP(F90,제품코드!A:C,2,0)</f>
        <v>#N/A</v>
      </c>
      <c r="H90" s="21"/>
      <c r="I90" s="17">
        <f>DATA!L90</f>
        <v>0</v>
      </c>
      <c r="J90" s="15" t="e">
        <f>VLOOKUP(G90,제품코드!B:D,3,0)</f>
        <v>#N/A</v>
      </c>
      <c r="K90" s="8" t="e">
        <f t="shared" si="10"/>
        <v>#N/A</v>
      </c>
    </row>
    <row r="91" spans="2:11" ht="15.6">
      <c r="B91" s="5">
        <f>DATA!B91</f>
        <v>0</v>
      </c>
      <c r="C91" s="6" t="e">
        <f>VLOOKUP(B91,점포명!B:C,2,0)</f>
        <v>#N/A</v>
      </c>
      <c r="D91" s="5">
        <f>DATA!B91</f>
        <v>0</v>
      </c>
      <c r="E91" s="6" t="e">
        <f>VLOOKUP(D91,점포명!B:C,2,0)</f>
        <v>#N/A</v>
      </c>
      <c r="F91" s="7">
        <f>DATA!C91</f>
        <v>0</v>
      </c>
      <c r="G91" s="16" t="e">
        <f>VLOOKUP(F91,제품코드!A:C,2,0)</f>
        <v>#N/A</v>
      </c>
      <c r="H91" s="21"/>
      <c r="I91" s="17">
        <f>DATA!L91</f>
        <v>0</v>
      </c>
      <c r="J91" s="15" t="e">
        <f>VLOOKUP(G91,제품코드!B:D,3,0)</f>
        <v>#N/A</v>
      </c>
      <c r="K91" s="8" t="e">
        <f t="shared" si="10"/>
        <v>#N/A</v>
      </c>
    </row>
    <row r="92" spans="2:11" ht="15.6">
      <c r="B92" s="5">
        <f>DATA!B92</f>
        <v>0</v>
      </c>
      <c r="C92" s="6" t="e">
        <f>VLOOKUP(B92,점포명!B:C,2,0)</f>
        <v>#N/A</v>
      </c>
      <c r="D92" s="5">
        <f>DATA!B92</f>
        <v>0</v>
      </c>
      <c r="E92" s="6" t="e">
        <f>VLOOKUP(D92,점포명!B:C,2,0)</f>
        <v>#N/A</v>
      </c>
      <c r="F92" s="7">
        <f>DATA!C92</f>
        <v>0</v>
      </c>
      <c r="G92" s="16" t="e">
        <f>VLOOKUP(F92,제품코드!A:C,2,0)</f>
        <v>#N/A</v>
      </c>
      <c r="H92" s="21"/>
      <c r="I92" s="17">
        <f>DATA!L92</f>
        <v>0</v>
      </c>
      <c r="J92" s="15" t="e">
        <f>VLOOKUP(G92,제품코드!B:D,3,0)</f>
        <v>#N/A</v>
      </c>
      <c r="K92" s="8" t="e">
        <f t="shared" si="10"/>
        <v>#N/A</v>
      </c>
    </row>
    <row r="93" spans="2:11" ht="15.6">
      <c r="B93" s="5">
        <f>DATA!B93</f>
        <v>0</v>
      </c>
      <c r="C93" s="6" t="e">
        <f>VLOOKUP(B93,점포명!B:C,2,0)</f>
        <v>#N/A</v>
      </c>
      <c r="D93" s="5">
        <f>DATA!B93</f>
        <v>0</v>
      </c>
      <c r="E93" s="6" t="e">
        <f>VLOOKUP(D93,점포명!B:C,2,0)</f>
        <v>#N/A</v>
      </c>
      <c r="F93" s="7">
        <f>DATA!C93</f>
        <v>0</v>
      </c>
      <c r="G93" s="16" t="e">
        <f>VLOOKUP(F93,제품코드!A:C,2,0)</f>
        <v>#N/A</v>
      </c>
      <c r="H93" s="21"/>
      <c r="I93" s="17">
        <f>DATA!L93</f>
        <v>0</v>
      </c>
      <c r="J93" s="15" t="e">
        <f>VLOOKUP(G93,제품코드!B:D,3,0)</f>
        <v>#N/A</v>
      </c>
      <c r="K93" s="8" t="e">
        <f t="shared" si="10"/>
        <v>#N/A</v>
      </c>
    </row>
    <row r="94" spans="2:11" ht="15.6">
      <c r="B94" s="5">
        <f>DATA!B94</f>
        <v>0</v>
      </c>
      <c r="C94" s="6" t="e">
        <f>VLOOKUP(B94,점포명!B:C,2,0)</f>
        <v>#N/A</v>
      </c>
      <c r="D94" s="5">
        <f>DATA!B94</f>
        <v>0</v>
      </c>
      <c r="E94" s="6" t="e">
        <f>VLOOKUP(D94,점포명!B:C,2,0)</f>
        <v>#N/A</v>
      </c>
      <c r="F94" s="7">
        <f>DATA!C94</f>
        <v>0</v>
      </c>
      <c r="G94" s="16" t="e">
        <f>VLOOKUP(F94,제품코드!A:C,2,0)</f>
        <v>#N/A</v>
      </c>
      <c r="H94" s="21"/>
      <c r="I94" s="17">
        <f>DATA!L94</f>
        <v>0</v>
      </c>
      <c r="J94" s="15" t="e">
        <f>VLOOKUP(G94,제품코드!B:D,3,0)</f>
        <v>#N/A</v>
      </c>
      <c r="K94" s="8" t="e">
        <f t="shared" si="10"/>
        <v>#N/A</v>
      </c>
    </row>
    <row r="95" spans="2:11" ht="15.6">
      <c r="B95" s="5">
        <f>DATA!B95</f>
        <v>0</v>
      </c>
      <c r="C95" s="6" t="e">
        <f>VLOOKUP(B95,점포명!B:C,2,0)</f>
        <v>#N/A</v>
      </c>
      <c r="D95" s="5">
        <f>DATA!B95</f>
        <v>0</v>
      </c>
      <c r="E95" s="6" t="e">
        <f>VLOOKUP(D95,점포명!B:C,2,0)</f>
        <v>#N/A</v>
      </c>
      <c r="F95" s="7">
        <f>DATA!C95</f>
        <v>0</v>
      </c>
      <c r="G95" s="16" t="e">
        <f>VLOOKUP(F95,제품코드!A:C,2,0)</f>
        <v>#N/A</v>
      </c>
      <c r="H95" s="21"/>
      <c r="I95" s="17">
        <f>DATA!L95</f>
        <v>0</v>
      </c>
      <c r="J95" s="15" t="e">
        <f>VLOOKUP(G95,제품코드!B:D,3,0)</f>
        <v>#N/A</v>
      </c>
      <c r="K95" s="8" t="e">
        <f t="shared" si="10"/>
        <v>#N/A</v>
      </c>
    </row>
    <row r="96" spans="2:11" ht="15.6">
      <c r="B96" s="5">
        <f>DATA!B96</f>
        <v>0</v>
      </c>
      <c r="C96" s="6" t="e">
        <f>VLOOKUP(B96,점포명!B:C,2,0)</f>
        <v>#N/A</v>
      </c>
      <c r="D96" s="5">
        <f>DATA!B96</f>
        <v>0</v>
      </c>
      <c r="E96" s="6" t="e">
        <f>VLOOKUP(D96,점포명!B:C,2,0)</f>
        <v>#N/A</v>
      </c>
      <c r="F96" s="7">
        <f>DATA!C96</f>
        <v>0</v>
      </c>
      <c r="G96" s="16" t="e">
        <f>VLOOKUP(F96,제품코드!A:C,2,0)</f>
        <v>#N/A</v>
      </c>
      <c r="H96" s="21"/>
      <c r="I96" s="17">
        <f>DATA!L96</f>
        <v>0</v>
      </c>
      <c r="J96" s="15" t="e">
        <f>VLOOKUP(G96,제품코드!B:D,3,0)</f>
        <v>#N/A</v>
      </c>
      <c r="K96" s="8" t="e">
        <f t="shared" si="10"/>
        <v>#N/A</v>
      </c>
    </row>
    <row r="97" spans="2:11" ht="15.6">
      <c r="B97" s="5">
        <f>DATA!B97</f>
        <v>0</v>
      </c>
      <c r="C97" s="6" t="e">
        <f>VLOOKUP(B97,점포명!B:C,2,0)</f>
        <v>#N/A</v>
      </c>
      <c r="D97" s="5">
        <f>DATA!B97</f>
        <v>0</v>
      </c>
      <c r="E97" s="6" t="e">
        <f>VLOOKUP(D97,점포명!B:C,2,0)</f>
        <v>#N/A</v>
      </c>
      <c r="F97" s="7">
        <f>DATA!C97</f>
        <v>0</v>
      </c>
      <c r="G97" s="16" t="e">
        <f>VLOOKUP(F97,제품코드!A:C,2,0)</f>
        <v>#N/A</v>
      </c>
      <c r="H97" s="21"/>
      <c r="I97" s="17">
        <f>DATA!L97</f>
        <v>0</v>
      </c>
      <c r="J97" s="15" t="e">
        <f>VLOOKUP(G97,제품코드!B:D,3,0)</f>
        <v>#N/A</v>
      </c>
      <c r="K97" s="8" t="e">
        <f t="shared" si="10"/>
        <v>#N/A</v>
      </c>
    </row>
    <row r="98" spans="2:11" ht="15.6">
      <c r="B98" s="5">
        <f>DATA!B98</f>
        <v>0</v>
      </c>
      <c r="C98" s="6" t="e">
        <f>VLOOKUP(B98,점포명!B:C,2,0)</f>
        <v>#N/A</v>
      </c>
      <c r="D98" s="5">
        <f>DATA!B98</f>
        <v>0</v>
      </c>
      <c r="E98" s="6" t="e">
        <f>VLOOKUP(D98,점포명!B:C,2,0)</f>
        <v>#N/A</v>
      </c>
      <c r="F98" s="7">
        <f>DATA!C98</f>
        <v>0</v>
      </c>
      <c r="G98" s="16" t="e">
        <f>VLOOKUP(F98,제품코드!A:C,2,0)</f>
        <v>#N/A</v>
      </c>
      <c r="H98" s="21"/>
      <c r="I98" s="17">
        <f>DATA!L98</f>
        <v>0</v>
      </c>
      <c r="J98" s="15" t="e">
        <f>VLOOKUP(G98,제품코드!B:D,3,0)</f>
        <v>#N/A</v>
      </c>
      <c r="K98" s="8" t="e">
        <f t="shared" si="10"/>
        <v>#N/A</v>
      </c>
    </row>
    <row r="99" spans="2:11" ht="15.6">
      <c r="B99" s="5">
        <f>DATA!B99</f>
        <v>0</v>
      </c>
      <c r="C99" s="6" t="e">
        <f>VLOOKUP(B99,점포명!B:C,2,0)</f>
        <v>#N/A</v>
      </c>
      <c r="D99" s="5">
        <f>DATA!B99</f>
        <v>0</v>
      </c>
      <c r="E99" s="6" t="e">
        <f>VLOOKUP(D99,점포명!B:C,2,0)</f>
        <v>#N/A</v>
      </c>
      <c r="F99" s="7">
        <f>DATA!C99</f>
        <v>0</v>
      </c>
      <c r="G99" s="16" t="e">
        <f>VLOOKUP(F99,제품코드!A:C,2,0)</f>
        <v>#N/A</v>
      </c>
      <c r="H99" s="21"/>
      <c r="I99" s="17">
        <f>DATA!L99</f>
        <v>0</v>
      </c>
      <c r="J99" s="15" t="e">
        <f>VLOOKUP(G99,제품코드!B:D,3,0)</f>
        <v>#N/A</v>
      </c>
      <c r="K99" s="8" t="e">
        <f t="shared" si="10"/>
        <v>#N/A</v>
      </c>
    </row>
    <row r="100" spans="2:11" ht="15.6">
      <c r="B100" s="5">
        <f>DATA!B100</f>
        <v>0</v>
      </c>
      <c r="C100" s="6" t="e">
        <f>VLOOKUP(B100,점포명!B:C,2,0)</f>
        <v>#N/A</v>
      </c>
      <c r="D100" s="5">
        <f>DATA!B100</f>
        <v>0</v>
      </c>
      <c r="E100" s="6" t="e">
        <f>VLOOKUP(D100,점포명!B:C,2,0)</f>
        <v>#N/A</v>
      </c>
      <c r="F100" s="7">
        <f>DATA!C100</f>
        <v>0</v>
      </c>
      <c r="G100" s="16" t="e">
        <f>VLOOKUP(F100,제품코드!A:C,2,0)</f>
        <v>#N/A</v>
      </c>
      <c r="H100" s="21"/>
      <c r="I100" s="17">
        <f>DATA!L100</f>
        <v>0</v>
      </c>
      <c r="J100" s="15" t="e">
        <f>VLOOKUP(G100,제품코드!B:D,3,0)</f>
        <v>#N/A</v>
      </c>
      <c r="K100" s="8" t="e">
        <f t="shared" si="10"/>
        <v>#N/A</v>
      </c>
    </row>
    <row r="101" spans="2:11" ht="15.6">
      <c r="B101" s="5">
        <f>DATA!B101</f>
        <v>0</v>
      </c>
      <c r="C101" s="6" t="e">
        <f>VLOOKUP(B101,점포명!B:C,2,0)</f>
        <v>#N/A</v>
      </c>
      <c r="D101" s="5">
        <f>DATA!B101</f>
        <v>0</v>
      </c>
      <c r="E101" s="6" t="e">
        <f>VLOOKUP(D101,점포명!B:C,2,0)</f>
        <v>#N/A</v>
      </c>
      <c r="F101" s="7">
        <f>DATA!C101</f>
        <v>0</v>
      </c>
      <c r="G101" s="16" t="e">
        <f>VLOOKUP(F101,제품코드!A:C,2,0)</f>
        <v>#N/A</v>
      </c>
      <c r="H101" s="21"/>
      <c r="I101" s="17">
        <f>DATA!L101</f>
        <v>0</v>
      </c>
      <c r="J101" s="15" t="e">
        <f>VLOOKUP(G101,제품코드!B:D,3,0)</f>
        <v>#N/A</v>
      </c>
      <c r="K101" s="8" t="e">
        <f t="shared" si="10"/>
        <v>#N/A</v>
      </c>
    </row>
    <row r="102" spans="2:11" ht="15.6">
      <c r="B102" s="5">
        <f>DATA!B102</f>
        <v>0</v>
      </c>
      <c r="C102" s="6" t="e">
        <f>VLOOKUP(B102,점포명!B:C,2,0)</f>
        <v>#N/A</v>
      </c>
      <c r="D102" s="5">
        <f>DATA!B102</f>
        <v>0</v>
      </c>
      <c r="E102" s="6" t="e">
        <f>VLOOKUP(D102,점포명!B:C,2,0)</f>
        <v>#N/A</v>
      </c>
      <c r="F102" s="7">
        <f>DATA!C102</f>
        <v>0</v>
      </c>
      <c r="G102" s="16" t="e">
        <f>VLOOKUP(F102,제품코드!A:C,2,0)</f>
        <v>#N/A</v>
      </c>
      <c r="H102" s="21"/>
      <c r="I102" s="17">
        <f>DATA!L102</f>
        <v>0</v>
      </c>
      <c r="J102" s="15" t="e">
        <f>VLOOKUP(G102,제품코드!B:D,3,0)</f>
        <v>#N/A</v>
      </c>
      <c r="K102" s="8" t="e">
        <f t="shared" si="10"/>
        <v>#N/A</v>
      </c>
    </row>
    <row r="103" spans="2:11" ht="15.6">
      <c r="B103" s="5">
        <f>DATA!B103</f>
        <v>0</v>
      </c>
      <c r="C103" s="6" t="e">
        <f>VLOOKUP(B103,점포명!B:C,2,0)</f>
        <v>#N/A</v>
      </c>
      <c r="D103" s="5">
        <f>DATA!B103</f>
        <v>0</v>
      </c>
      <c r="E103" s="6" t="e">
        <f>VLOOKUP(D103,점포명!B:C,2,0)</f>
        <v>#N/A</v>
      </c>
      <c r="F103" s="7">
        <f>DATA!C103</f>
        <v>0</v>
      </c>
      <c r="G103" s="16" t="e">
        <f>VLOOKUP(F103,제품코드!A:C,2,0)</f>
        <v>#N/A</v>
      </c>
      <c r="H103" s="21"/>
      <c r="I103" s="17">
        <f>DATA!L103</f>
        <v>0</v>
      </c>
      <c r="J103" s="15" t="e">
        <f>VLOOKUP(G103,제품코드!B:D,3,0)</f>
        <v>#N/A</v>
      </c>
      <c r="K103" s="8" t="e">
        <f t="shared" si="10"/>
        <v>#N/A</v>
      </c>
    </row>
    <row r="104" spans="2:11" ht="15.6">
      <c r="B104" s="5">
        <f>DATA!B104</f>
        <v>0</v>
      </c>
      <c r="C104" s="6" t="e">
        <f>VLOOKUP(B104,점포명!B:C,2,0)</f>
        <v>#N/A</v>
      </c>
      <c r="D104" s="5">
        <f>DATA!B104</f>
        <v>0</v>
      </c>
      <c r="E104" s="6" t="e">
        <f>VLOOKUP(D104,점포명!B:C,2,0)</f>
        <v>#N/A</v>
      </c>
      <c r="F104" s="7">
        <f>DATA!C104</f>
        <v>0</v>
      </c>
      <c r="G104" s="16" t="e">
        <f>VLOOKUP(F104,제품코드!A:C,2,0)</f>
        <v>#N/A</v>
      </c>
      <c r="H104" s="21"/>
      <c r="I104" s="17">
        <f>DATA!L104</f>
        <v>0</v>
      </c>
      <c r="J104" s="15" t="e">
        <f>VLOOKUP(G104,제품코드!B:D,3,0)</f>
        <v>#N/A</v>
      </c>
      <c r="K104" s="8" t="e">
        <f t="shared" si="10"/>
        <v>#N/A</v>
      </c>
    </row>
    <row r="105" spans="2:11" ht="15.6">
      <c r="B105" s="5">
        <f>DATA!B105</f>
        <v>0</v>
      </c>
      <c r="C105" s="6" t="e">
        <f>VLOOKUP(B105,점포명!B:C,2,0)</f>
        <v>#N/A</v>
      </c>
      <c r="D105" s="5">
        <f>DATA!B105</f>
        <v>0</v>
      </c>
      <c r="E105" s="6" t="e">
        <f>VLOOKUP(D105,점포명!B:C,2,0)</f>
        <v>#N/A</v>
      </c>
      <c r="F105" s="7">
        <f>DATA!C105</f>
        <v>0</v>
      </c>
      <c r="G105" s="16" t="e">
        <f>VLOOKUP(F105,제품코드!A:C,2,0)</f>
        <v>#N/A</v>
      </c>
      <c r="H105" s="21"/>
      <c r="I105" s="17">
        <f>DATA!L105</f>
        <v>0</v>
      </c>
      <c r="J105" s="15" t="e">
        <f>VLOOKUP(G105,제품코드!B:D,3,0)</f>
        <v>#N/A</v>
      </c>
      <c r="K105" s="8" t="e">
        <f t="shared" si="10"/>
        <v>#N/A</v>
      </c>
    </row>
    <row r="106" spans="2:11" ht="15.6">
      <c r="B106" s="5">
        <f>DATA!B106</f>
        <v>0</v>
      </c>
      <c r="C106" s="6" t="e">
        <f>VLOOKUP(B106,점포명!B:C,2,0)</f>
        <v>#N/A</v>
      </c>
      <c r="D106" s="5">
        <f>DATA!B106</f>
        <v>0</v>
      </c>
      <c r="E106" s="6" t="e">
        <f>VLOOKUP(D106,점포명!B:C,2,0)</f>
        <v>#N/A</v>
      </c>
      <c r="F106" s="7">
        <f>DATA!C106</f>
        <v>0</v>
      </c>
      <c r="G106" s="16" t="e">
        <f>VLOOKUP(F106,제품코드!A:C,2,0)</f>
        <v>#N/A</v>
      </c>
      <c r="H106" s="21"/>
      <c r="I106" s="17">
        <f>DATA!L106</f>
        <v>0</v>
      </c>
      <c r="J106" s="15" t="e">
        <f>VLOOKUP(G106,제품코드!B:D,3,0)</f>
        <v>#N/A</v>
      </c>
      <c r="K106" s="8" t="e">
        <f t="shared" si="10"/>
        <v>#N/A</v>
      </c>
    </row>
    <row r="107" spans="2:11" ht="15.6">
      <c r="B107" s="5">
        <f>DATA!B107</f>
        <v>0</v>
      </c>
      <c r="C107" s="6" t="e">
        <f>VLOOKUP(B107,점포명!B:C,2,0)</f>
        <v>#N/A</v>
      </c>
      <c r="D107" s="5">
        <f>DATA!B107</f>
        <v>0</v>
      </c>
      <c r="E107" s="6" t="e">
        <f>VLOOKUP(D107,점포명!B:C,2,0)</f>
        <v>#N/A</v>
      </c>
      <c r="F107" s="7">
        <f>DATA!C107</f>
        <v>0</v>
      </c>
      <c r="G107" s="16" t="e">
        <f>VLOOKUP(F107,제품코드!A:C,2,0)</f>
        <v>#N/A</v>
      </c>
      <c r="H107" s="21"/>
      <c r="I107" s="17">
        <f>DATA!L107</f>
        <v>0</v>
      </c>
      <c r="J107" s="15" t="e">
        <f>VLOOKUP(G107,제품코드!B:D,3,0)</f>
        <v>#N/A</v>
      </c>
      <c r="K107" s="8" t="e">
        <f t="shared" si="10"/>
        <v>#N/A</v>
      </c>
    </row>
    <row r="108" spans="2:11" ht="15.6">
      <c r="B108" s="5">
        <f>DATA!B108</f>
        <v>0</v>
      </c>
      <c r="C108" s="6" t="e">
        <f>VLOOKUP(B108,점포명!B:C,2,0)</f>
        <v>#N/A</v>
      </c>
      <c r="D108" s="5">
        <f>DATA!B108</f>
        <v>0</v>
      </c>
      <c r="E108" s="6" t="e">
        <f>VLOOKUP(D108,점포명!B:C,2,0)</f>
        <v>#N/A</v>
      </c>
      <c r="F108" s="7">
        <f>DATA!C108</f>
        <v>0</v>
      </c>
      <c r="G108" s="16" t="e">
        <f>VLOOKUP(F108,제품코드!A:C,2,0)</f>
        <v>#N/A</v>
      </c>
      <c r="H108" s="21"/>
      <c r="I108" s="17">
        <f>DATA!L108</f>
        <v>0</v>
      </c>
      <c r="J108" s="15" t="e">
        <f>VLOOKUP(G108,제품코드!B:D,3,0)</f>
        <v>#N/A</v>
      </c>
      <c r="K108" s="8" t="e">
        <f t="shared" si="10"/>
        <v>#N/A</v>
      </c>
    </row>
    <row r="109" spans="2:11" ht="15.6">
      <c r="B109" s="5">
        <f>DATA!B109</f>
        <v>0</v>
      </c>
      <c r="C109" s="6" t="e">
        <f>VLOOKUP(B109,점포명!B:C,2,0)</f>
        <v>#N/A</v>
      </c>
      <c r="D109" s="5">
        <f>DATA!B109</f>
        <v>0</v>
      </c>
      <c r="E109" s="6" t="e">
        <f>VLOOKUP(D109,점포명!B:C,2,0)</f>
        <v>#N/A</v>
      </c>
      <c r="F109" s="7">
        <f>DATA!C109</f>
        <v>0</v>
      </c>
      <c r="G109" s="16" t="e">
        <f>VLOOKUP(F109,제품코드!A:C,2,0)</f>
        <v>#N/A</v>
      </c>
      <c r="H109" s="21"/>
      <c r="I109" s="17">
        <f>DATA!L109</f>
        <v>0</v>
      </c>
      <c r="J109" s="15" t="e">
        <f>VLOOKUP(G109,제품코드!B:D,3,0)</f>
        <v>#N/A</v>
      </c>
      <c r="K109" s="8" t="e">
        <f t="shared" si="10"/>
        <v>#N/A</v>
      </c>
    </row>
    <row r="110" spans="2:11" ht="15.6">
      <c r="B110" s="5">
        <f>DATA!B110</f>
        <v>0</v>
      </c>
      <c r="C110" s="6" t="e">
        <f>VLOOKUP(B110,점포명!B:C,2,0)</f>
        <v>#N/A</v>
      </c>
      <c r="D110" s="5">
        <f>DATA!B110</f>
        <v>0</v>
      </c>
      <c r="E110" s="6" t="e">
        <f>VLOOKUP(D110,점포명!B:C,2,0)</f>
        <v>#N/A</v>
      </c>
      <c r="F110" s="7">
        <f>DATA!C110</f>
        <v>0</v>
      </c>
      <c r="G110" s="16" t="e">
        <f>VLOOKUP(F110,제품코드!A:C,2,0)</f>
        <v>#N/A</v>
      </c>
      <c r="H110" s="21"/>
      <c r="I110" s="17">
        <f>DATA!L110</f>
        <v>0</v>
      </c>
      <c r="J110" s="15" t="e">
        <f>VLOOKUP(G110,제품코드!B:D,3,0)</f>
        <v>#N/A</v>
      </c>
      <c r="K110" s="8" t="e">
        <f t="shared" si="10"/>
        <v>#N/A</v>
      </c>
    </row>
    <row r="111" spans="2:11" ht="15.6">
      <c r="B111" s="5">
        <f>DATA!B111</f>
        <v>0</v>
      </c>
      <c r="C111" s="6" t="e">
        <f>VLOOKUP(B111,점포명!B:C,2,0)</f>
        <v>#N/A</v>
      </c>
      <c r="D111" s="5">
        <f>DATA!B111</f>
        <v>0</v>
      </c>
      <c r="E111" s="6" t="e">
        <f>VLOOKUP(D111,점포명!B:C,2,0)</f>
        <v>#N/A</v>
      </c>
      <c r="F111" s="7">
        <f>DATA!C111</f>
        <v>0</v>
      </c>
      <c r="G111" s="16" t="e">
        <f>VLOOKUP(F111,제품코드!A:C,2,0)</f>
        <v>#N/A</v>
      </c>
      <c r="H111" s="21"/>
      <c r="I111" s="17">
        <f>DATA!L111</f>
        <v>0</v>
      </c>
      <c r="J111" s="15" t="e">
        <f>VLOOKUP(G111,제품코드!B:D,3,0)</f>
        <v>#N/A</v>
      </c>
      <c r="K111" s="8" t="e">
        <f t="shared" si="10"/>
        <v>#N/A</v>
      </c>
    </row>
    <row r="112" spans="2:11" ht="15.6">
      <c r="B112" s="5">
        <f>DATA!B112</f>
        <v>0</v>
      </c>
      <c r="C112" s="6" t="e">
        <f>VLOOKUP(B112,점포명!B:C,2,0)</f>
        <v>#N/A</v>
      </c>
      <c r="D112" s="5">
        <f>DATA!B112</f>
        <v>0</v>
      </c>
      <c r="E112" s="6" t="e">
        <f>VLOOKUP(D112,점포명!B:C,2,0)</f>
        <v>#N/A</v>
      </c>
      <c r="F112" s="7">
        <f>DATA!C112</f>
        <v>0</v>
      </c>
      <c r="G112" s="16" t="e">
        <f>VLOOKUP(F112,제품코드!A:C,2,0)</f>
        <v>#N/A</v>
      </c>
      <c r="H112" s="21"/>
      <c r="I112" s="17">
        <f>DATA!L112</f>
        <v>0</v>
      </c>
      <c r="J112" s="15" t="e">
        <f>VLOOKUP(G112,제품코드!B:D,3,0)</f>
        <v>#N/A</v>
      </c>
      <c r="K112" s="8" t="e">
        <f t="shared" si="10"/>
        <v>#N/A</v>
      </c>
    </row>
    <row r="113" spans="2:11" ht="15.6">
      <c r="B113" s="5">
        <f>DATA!B113</f>
        <v>0</v>
      </c>
      <c r="C113" s="6" t="e">
        <f>VLOOKUP(B113,점포명!B:C,2,0)</f>
        <v>#N/A</v>
      </c>
      <c r="D113" s="5">
        <f>DATA!B113</f>
        <v>0</v>
      </c>
      <c r="E113" s="6" t="e">
        <f>VLOOKUP(D113,점포명!B:C,2,0)</f>
        <v>#N/A</v>
      </c>
      <c r="F113" s="7">
        <f>DATA!C113</f>
        <v>0</v>
      </c>
      <c r="G113" s="16" t="e">
        <f>VLOOKUP(F113,제품코드!A:C,2,0)</f>
        <v>#N/A</v>
      </c>
      <c r="H113" s="21"/>
      <c r="I113" s="17">
        <f>DATA!L113</f>
        <v>0</v>
      </c>
      <c r="J113" s="15" t="e">
        <f>VLOOKUP(G113,제품코드!B:D,3,0)</f>
        <v>#N/A</v>
      </c>
      <c r="K113" s="8" t="e">
        <f t="shared" si="10"/>
        <v>#N/A</v>
      </c>
    </row>
    <row r="114" spans="2:11" ht="15.6">
      <c r="B114" s="5">
        <f>DATA!B114</f>
        <v>0</v>
      </c>
      <c r="C114" s="6" t="e">
        <f>VLOOKUP(B114,점포명!B:C,2,0)</f>
        <v>#N/A</v>
      </c>
      <c r="D114" s="5">
        <f>DATA!B114</f>
        <v>0</v>
      </c>
      <c r="E114" s="6" t="e">
        <f>VLOOKUP(D114,점포명!B:C,2,0)</f>
        <v>#N/A</v>
      </c>
      <c r="F114" s="7">
        <f>DATA!C114</f>
        <v>0</v>
      </c>
      <c r="G114" s="16" t="e">
        <f>VLOOKUP(F114,제품코드!A:C,2,0)</f>
        <v>#N/A</v>
      </c>
      <c r="H114" s="21"/>
      <c r="I114" s="17">
        <f>DATA!L114</f>
        <v>0</v>
      </c>
      <c r="J114" s="15" t="e">
        <f>VLOOKUP(G114,제품코드!B:D,3,0)</f>
        <v>#N/A</v>
      </c>
      <c r="K114" s="8" t="e">
        <f t="shared" si="10"/>
        <v>#N/A</v>
      </c>
    </row>
    <row r="115" spans="2:11" ht="15.6">
      <c r="B115" s="5">
        <f>DATA!B115</f>
        <v>0</v>
      </c>
      <c r="C115" s="6" t="e">
        <f>VLOOKUP(B115,점포명!B:C,2,0)</f>
        <v>#N/A</v>
      </c>
      <c r="D115" s="5">
        <f>DATA!B115</f>
        <v>0</v>
      </c>
      <c r="E115" s="6" t="e">
        <f>VLOOKUP(D115,점포명!B:C,2,0)</f>
        <v>#N/A</v>
      </c>
      <c r="F115" s="7">
        <f>DATA!C115</f>
        <v>0</v>
      </c>
      <c r="G115" s="16" t="e">
        <f>VLOOKUP(F115,제품코드!A:C,2,0)</f>
        <v>#N/A</v>
      </c>
      <c r="H115" s="21"/>
      <c r="I115" s="17">
        <f>DATA!L115</f>
        <v>0</v>
      </c>
      <c r="J115" s="15" t="e">
        <f>VLOOKUP(G115,제품코드!B:D,3,0)</f>
        <v>#N/A</v>
      </c>
      <c r="K115" s="8" t="e">
        <f t="shared" si="10"/>
        <v>#N/A</v>
      </c>
    </row>
    <row r="116" spans="2:11" ht="15.6">
      <c r="B116" s="5">
        <f>DATA!B116</f>
        <v>0</v>
      </c>
      <c r="C116" s="6" t="e">
        <f>VLOOKUP(B116,점포명!B:C,2,0)</f>
        <v>#N/A</v>
      </c>
      <c r="D116" s="5">
        <f>DATA!B116</f>
        <v>0</v>
      </c>
      <c r="E116" s="6" t="e">
        <f>VLOOKUP(D116,점포명!B:C,2,0)</f>
        <v>#N/A</v>
      </c>
      <c r="F116" s="7">
        <f>DATA!C116</f>
        <v>0</v>
      </c>
      <c r="G116" s="16" t="e">
        <f>VLOOKUP(F116,제품코드!A:C,2,0)</f>
        <v>#N/A</v>
      </c>
      <c r="H116" s="21"/>
      <c r="I116" s="17">
        <f>DATA!L116</f>
        <v>0</v>
      </c>
      <c r="J116" s="15" t="e">
        <f>VLOOKUP(G116,제품코드!B:D,3,0)</f>
        <v>#N/A</v>
      </c>
      <c r="K116" s="8" t="e">
        <f t="shared" si="10"/>
        <v>#N/A</v>
      </c>
    </row>
    <row r="117" spans="2:11" ht="15.6">
      <c r="B117" s="5">
        <f>DATA!B117</f>
        <v>0</v>
      </c>
      <c r="C117" s="6" t="e">
        <f>VLOOKUP(B117,점포명!B:C,2,0)</f>
        <v>#N/A</v>
      </c>
      <c r="D117" s="5">
        <f>DATA!B117</f>
        <v>0</v>
      </c>
      <c r="E117" s="6" t="e">
        <f>VLOOKUP(D117,점포명!B:C,2,0)</f>
        <v>#N/A</v>
      </c>
      <c r="F117" s="7">
        <f>DATA!C117</f>
        <v>0</v>
      </c>
      <c r="G117" s="16" t="e">
        <f>VLOOKUP(F117,제품코드!A:C,2,0)</f>
        <v>#N/A</v>
      </c>
      <c r="H117" s="21"/>
      <c r="I117" s="17">
        <f>DATA!L117</f>
        <v>0</v>
      </c>
      <c r="J117" s="15" t="e">
        <f>VLOOKUP(G117,제품코드!B:D,3,0)</f>
        <v>#N/A</v>
      </c>
      <c r="K117" s="8" t="e">
        <f t="shared" si="10"/>
        <v>#N/A</v>
      </c>
    </row>
    <row r="118" spans="2:11" ht="15.6">
      <c r="B118" s="5">
        <f>DATA!B118</f>
        <v>0</v>
      </c>
      <c r="C118" s="6" t="e">
        <f>VLOOKUP(B118,점포명!B:C,2,0)</f>
        <v>#N/A</v>
      </c>
      <c r="D118" s="5">
        <f>DATA!B118</f>
        <v>0</v>
      </c>
      <c r="E118" s="6" t="e">
        <f>VLOOKUP(D118,점포명!B:C,2,0)</f>
        <v>#N/A</v>
      </c>
      <c r="F118" s="7">
        <f>DATA!C118</f>
        <v>0</v>
      </c>
      <c r="G118" s="16" t="e">
        <f>VLOOKUP(F118,제품코드!A:C,2,0)</f>
        <v>#N/A</v>
      </c>
      <c r="H118" s="21"/>
      <c r="I118" s="17">
        <f>DATA!L118</f>
        <v>0</v>
      </c>
      <c r="J118" s="15" t="e">
        <f>VLOOKUP(G118,제품코드!B:D,3,0)</f>
        <v>#N/A</v>
      </c>
      <c r="K118" s="8" t="e">
        <f t="shared" si="10"/>
        <v>#N/A</v>
      </c>
    </row>
    <row r="119" spans="2:11" ht="15.6">
      <c r="B119" s="5">
        <f>DATA!B119</f>
        <v>0</v>
      </c>
      <c r="C119" s="6" t="e">
        <f>VLOOKUP(B119,점포명!B:C,2,0)</f>
        <v>#N/A</v>
      </c>
      <c r="D119" s="5">
        <f>DATA!B119</f>
        <v>0</v>
      </c>
      <c r="E119" s="6" t="e">
        <f>VLOOKUP(D119,점포명!B:C,2,0)</f>
        <v>#N/A</v>
      </c>
      <c r="F119" s="7">
        <f>DATA!C119</f>
        <v>0</v>
      </c>
      <c r="G119" s="16" t="e">
        <f>VLOOKUP(F119,제품코드!A:C,2,0)</f>
        <v>#N/A</v>
      </c>
      <c r="H119" s="21"/>
      <c r="I119" s="17">
        <f>DATA!L119</f>
        <v>0</v>
      </c>
      <c r="J119" s="15" t="e">
        <f>VLOOKUP(G119,제품코드!B:D,3,0)</f>
        <v>#N/A</v>
      </c>
      <c r="K119" s="8" t="e">
        <f t="shared" si="10"/>
        <v>#N/A</v>
      </c>
    </row>
    <row r="120" spans="2:11" ht="15.6">
      <c r="B120" s="5">
        <f>DATA!B120</f>
        <v>0</v>
      </c>
      <c r="C120" s="6" t="e">
        <f>VLOOKUP(B120,점포명!B:C,2,0)</f>
        <v>#N/A</v>
      </c>
      <c r="D120" s="5">
        <f>DATA!B120</f>
        <v>0</v>
      </c>
      <c r="E120" s="6" t="e">
        <f>VLOOKUP(D120,점포명!B:C,2,0)</f>
        <v>#N/A</v>
      </c>
      <c r="F120" s="7">
        <f>DATA!C120</f>
        <v>0</v>
      </c>
      <c r="G120" s="16" t="e">
        <f>VLOOKUP(F120,제품코드!A:C,2,0)</f>
        <v>#N/A</v>
      </c>
      <c r="H120" s="21"/>
      <c r="I120" s="17">
        <f>DATA!L120</f>
        <v>0</v>
      </c>
      <c r="J120" s="15" t="e">
        <f>VLOOKUP(G120,제품코드!B:D,3,0)</f>
        <v>#N/A</v>
      </c>
      <c r="K120" s="8" t="e">
        <f t="shared" si="10"/>
        <v>#N/A</v>
      </c>
    </row>
    <row r="121" spans="2:11" ht="15.6">
      <c r="B121" s="5">
        <f>DATA!B121</f>
        <v>0</v>
      </c>
      <c r="C121" s="6" t="e">
        <f>VLOOKUP(B121,점포명!B:C,2,0)</f>
        <v>#N/A</v>
      </c>
      <c r="D121" s="5">
        <f>DATA!B121</f>
        <v>0</v>
      </c>
      <c r="E121" s="6" t="e">
        <f>VLOOKUP(D121,점포명!B:C,2,0)</f>
        <v>#N/A</v>
      </c>
      <c r="F121" s="7">
        <f>DATA!C121</f>
        <v>0</v>
      </c>
      <c r="G121" s="16" t="e">
        <f>VLOOKUP(F121,제품코드!A:C,2,0)</f>
        <v>#N/A</v>
      </c>
      <c r="H121" s="21"/>
      <c r="I121" s="17">
        <f>DATA!L121</f>
        <v>0</v>
      </c>
      <c r="J121" s="15" t="e">
        <f>VLOOKUP(G121,제품코드!B:D,3,0)</f>
        <v>#N/A</v>
      </c>
      <c r="K121" s="8" t="e">
        <f t="shared" si="10"/>
        <v>#N/A</v>
      </c>
    </row>
    <row r="122" spans="2:11" ht="15.6">
      <c r="B122" s="5">
        <f>DATA!B122</f>
        <v>0</v>
      </c>
      <c r="C122" s="6" t="e">
        <f>VLOOKUP(B122,점포명!B:C,2,0)</f>
        <v>#N/A</v>
      </c>
      <c r="D122" s="5">
        <f>DATA!B122</f>
        <v>0</v>
      </c>
      <c r="E122" s="6" t="e">
        <f>VLOOKUP(D122,점포명!B:C,2,0)</f>
        <v>#N/A</v>
      </c>
      <c r="F122" s="7">
        <f>DATA!C122</f>
        <v>0</v>
      </c>
      <c r="G122" s="16" t="e">
        <f>VLOOKUP(F122,제품코드!A:C,2,0)</f>
        <v>#N/A</v>
      </c>
      <c r="H122" s="21"/>
      <c r="I122" s="17">
        <f>DATA!L122</f>
        <v>0</v>
      </c>
      <c r="J122" s="15" t="e">
        <f>VLOOKUP(G122,제품코드!B:D,3,0)</f>
        <v>#N/A</v>
      </c>
      <c r="K122" s="8" t="e">
        <f t="shared" si="10"/>
        <v>#N/A</v>
      </c>
    </row>
    <row r="123" spans="2:11" ht="15.6">
      <c r="B123" s="5">
        <f>DATA!B123</f>
        <v>0</v>
      </c>
      <c r="C123" s="6" t="e">
        <f>VLOOKUP(B123,점포명!B:C,2,0)</f>
        <v>#N/A</v>
      </c>
      <c r="D123" s="5">
        <f>DATA!B123</f>
        <v>0</v>
      </c>
      <c r="E123" s="6" t="e">
        <f>VLOOKUP(D123,점포명!B:C,2,0)</f>
        <v>#N/A</v>
      </c>
      <c r="F123" s="7">
        <f>DATA!C123</f>
        <v>0</v>
      </c>
      <c r="G123" s="16" t="e">
        <f>VLOOKUP(F123,제품코드!A:C,2,0)</f>
        <v>#N/A</v>
      </c>
      <c r="H123" s="21"/>
      <c r="I123" s="17">
        <f>DATA!L123</f>
        <v>0</v>
      </c>
      <c r="J123" s="15" t="e">
        <f>VLOOKUP(G123,제품코드!B:D,3,0)</f>
        <v>#N/A</v>
      </c>
      <c r="K123" s="8" t="e">
        <f t="shared" si="10"/>
        <v>#N/A</v>
      </c>
    </row>
    <row r="124" spans="2:11" ht="15.6">
      <c r="B124" s="5">
        <f>DATA!B124</f>
        <v>0</v>
      </c>
      <c r="C124" s="6" t="e">
        <f>VLOOKUP(B124,점포명!B:C,2,0)</f>
        <v>#N/A</v>
      </c>
      <c r="D124" s="5">
        <f>DATA!B124</f>
        <v>0</v>
      </c>
      <c r="E124" s="6" t="e">
        <f>VLOOKUP(D124,점포명!B:C,2,0)</f>
        <v>#N/A</v>
      </c>
      <c r="F124" s="7">
        <f>DATA!C124</f>
        <v>0</v>
      </c>
      <c r="G124" s="16" t="e">
        <f>VLOOKUP(F124,제품코드!A:C,2,0)</f>
        <v>#N/A</v>
      </c>
      <c r="H124" s="21"/>
      <c r="I124" s="17">
        <f>DATA!L124</f>
        <v>0</v>
      </c>
      <c r="J124" s="15" t="e">
        <f>VLOOKUP(G124,제품코드!B:D,3,0)</f>
        <v>#N/A</v>
      </c>
      <c r="K124" s="8" t="e">
        <f t="shared" si="10"/>
        <v>#N/A</v>
      </c>
    </row>
    <row r="125" spans="2:11" ht="15.6">
      <c r="B125" s="5">
        <f>DATA!B125</f>
        <v>0</v>
      </c>
      <c r="C125" s="6" t="e">
        <f>VLOOKUP(B125,점포명!B:C,2,0)</f>
        <v>#N/A</v>
      </c>
      <c r="D125" s="5">
        <f>DATA!B125</f>
        <v>0</v>
      </c>
      <c r="E125" s="6" t="e">
        <f>VLOOKUP(D125,점포명!B:C,2,0)</f>
        <v>#N/A</v>
      </c>
      <c r="F125" s="7">
        <f>DATA!C125</f>
        <v>0</v>
      </c>
      <c r="G125" s="16" t="e">
        <f>VLOOKUP(F125,제품코드!A:C,2,0)</f>
        <v>#N/A</v>
      </c>
      <c r="H125" s="21"/>
      <c r="I125" s="17">
        <f>DATA!L125</f>
        <v>0</v>
      </c>
      <c r="J125" s="15" t="e">
        <f>VLOOKUP(G125,제품코드!B:D,3,0)</f>
        <v>#N/A</v>
      </c>
      <c r="K125" s="8" t="e">
        <f t="shared" si="10"/>
        <v>#N/A</v>
      </c>
    </row>
    <row r="126" spans="2:11" ht="15.6">
      <c r="B126" s="5">
        <f>DATA!B126</f>
        <v>0</v>
      </c>
      <c r="C126" s="6" t="e">
        <f>VLOOKUP(B126,점포명!B:C,2,0)</f>
        <v>#N/A</v>
      </c>
      <c r="D126" s="5">
        <f>DATA!B126</f>
        <v>0</v>
      </c>
      <c r="E126" s="6" t="e">
        <f>VLOOKUP(D126,점포명!B:C,2,0)</f>
        <v>#N/A</v>
      </c>
      <c r="F126" s="7">
        <f>DATA!C126</f>
        <v>0</v>
      </c>
      <c r="G126" s="16" t="e">
        <f>VLOOKUP(F126,제품코드!A:C,2,0)</f>
        <v>#N/A</v>
      </c>
      <c r="H126" s="21"/>
      <c r="I126" s="17">
        <f>DATA!L126</f>
        <v>0</v>
      </c>
      <c r="J126" s="15" t="e">
        <f>VLOOKUP(G126,제품코드!B:D,3,0)</f>
        <v>#N/A</v>
      </c>
      <c r="K126" s="8" t="e">
        <f t="shared" si="10"/>
        <v>#N/A</v>
      </c>
    </row>
    <row r="127" spans="2:11" ht="15.6">
      <c r="B127" s="5">
        <f>DATA!B127</f>
        <v>0</v>
      </c>
      <c r="C127" s="6" t="e">
        <f>VLOOKUP(B127,점포명!B:C,2,0)</f>
        <v>#N/A</v>
      </c>
      <c r="D127" s="5">
        <f>DATA!B127</f>
        <v>0</v>
      </c>
      <c r="E127" s="6" t="e">
        <f>VLOOKUP(D127,점포명!B:C,2,0)</f>
        <v>#N/A</v>
      </c>
      <c r="F127" s="7">
        <f>DATA!C127</f>
        <v>0</v>
      </c>
      <c r="G127" s="16" t="e">
        <f>VLOOKUP(F127,제품코드!A:C,2,0)</f>
        <v>#N/A</v>
      </c>
      <c r="H127" s="21"/>
      <c r="I127" s="17">
        <f>DATA!L127</f>
        <v>0</v>
      </c>
      <c r="J127" s="15" t="e">
        <f>VLOOKUP(G127,제품코드!B:D,3,0)</f>
        <v>#N/A</v>
      </c>
      <c r="K127" s="8" t="e">
        <f t="shared" si="10"/>
        <v>#N/A</v>
      </c>
    </row>
    <row r="128" spans="2:11" ht="15.6">
      <c r="B128" s="5">
        <f>DATA!B128</f>
        <v>0</v>
      </c>
      <c r="C128" s="6" t="e">
        <f>VLOOKUP(B128,점포명!B:C,2,0)</f>
        <v>#N/A</v>
      </c>
      <c r="D128" s="5">
        <f>DATA!B128</f>
        <v>0</v>
      </c>
      <c r="E128" s="6" t="e">
        <f>VLOOKUP(D128,점포명!B:C,2,0)</f>
        <v>#N/A</v>
      </c>
      <c r="F128" s="7">
        <f>DATA!C128</f>
        <v>0</v>
      </c>
      <c r="G128" s="16" t="e">
        <f>VLOOKUP(F128,제품코드!A:C,2,0)</f>
        <v>#N/A</v>
      </c>
      <c r="H128" s="21"/>
      <c r="I128" s="17">
        <f>DATA!L128</f>
        <v>0</v>
      </c>
      <c r="J128" s="15" t="e">
        <f>VLOOKUP(G128,제품코드!B:D,3,0)</f>
        <v>#N/A</v>
      </c>
      <c r="K128" s="8" t="e">
        <f t="shared" si="10"/>
        <v>#N/A</v>
      </c>
    </row>
    <row r="129" spans="2:11" ht="15.6">
      <c r="B129" s="5">
        <f>DATA!B129</f>
        <v>0</v>
      </c>
      <c r="C129" s="6" t="e">
        <f>VLOOKUP(B129,점포명!B:C,2,0)</f>
        <v>#N/A</v>
      </c>
      <c r="D129" s="5">
        <f>DATA!B129</f>
        <v>0</v>
      </c>
      <c r="E129" s="6" t="e">
        <f>VLOOKUP(D129,점포명!B:C,2,0)</f>
        <v>#N/A</v>
      </c>
      <c r="F129" s="7">
        <f>DATA!C129</f>
        <v>0</v>
      </c>
      <c r="G129" s="16" t="e">
        <f>VLOOKUP(F129,제품코드!A:C,2,0)</f>
        <v>#N/A</v>
      </c>
      <c r="H129" s="21"/>
      <c r="I129" s="17">
        <f>DATA!L129</f>
        <v>0</v>
      </c>
      <c r="J129" s="15" t="e">
        <f>VLOOKUP(G129,제품코드!B:D,3,0)</f>
        <v>#N/A</v>
      </c>
      <c r="K129" s="8" t="e">
        <f t="shared" si="10"/>
        <v>#N/A</v>
      </c>
    </row>
    <row r="130" spans="2:11" ht="15.6">
      <c r="B130" s="5">
        <f>DATA!B130</f>
        <v>0</v>
      </c>
      <c r="C130" s="6" t="e">
        <f>VLOOKUP(B130,점포명!B:C,2,0)</f>
        <v>#N/A</v>
      </c>
      <c r="D130" s="5">
        <f>DATA!B130</f>
        <v>0</v>
      </c>
      <c r="E130" s="6" t="e">
        <f>VLOOKUP(D130,점포명!B:C,2,0)</f>
        <v>#N/A</v>
      </c>
      <c r="F130" s="7">
        <f>DATA!C130</f>
        <v>0</v>
      </c>
      <c r="G130" s="16" t="e">
        <f>VLOOKUP(F130,제품코드!A:C,2,0)</f>
        <v>#N/A</v>
      </c>
      <c r="H130" s="21"/>
      <c r="I130" s="17">
        <f>DATA!L130</f>
        <v>0</v>
      </c>
      <c r="J130" s="15" t="e">
        <f>VLOOKUP(G130,제품코드!B:D,3,0)</f>
        <v>#N/A</v>
      </c>
      <c r="K130" s="8" t="e">
        <f t="shared" si="10"/>
        <v>#N/A</v>
      </c>
    </row>
    <row r="131" spans="2:11" ht="15.6">
      <c r="B131" s="5">
        <f>DATA!B131</f>
        <v>0</v>
      </c>
      <c r="C131" s="6" t="e">
        <f>VLOOKUP(B131,점포명!B:C,2,0)</f>
        <v>#N/A</v>
      </c>
      <c r="D131" s="5">
        <f>DATA!B131</f>
        <v>0</v>
      </c>
      <c r="E131" s="6" t="e">
        <f>VLOOKUP(D131,점포명!B:C,2,0)</f>
        <v>#N/A</v>
      </c>
      <c r="F131" s="7">
        <f>DATA!C131</f>
        <v>0</v>
      </c>
      <c r="G131" s="16" t="e">
        <f>VLOOKUP(F131,제품코드!A:C,2,0)</f>
        <v>#N/A</v>
      </c>
      <c r="H131" s="21"/>
      <c r="I131" s="17">
        <f>DATA!L131</f>
        <v>0</v>
      </c>
      <c r="J131" s="15" t="e">
        <f>VLOOKUP(G131,제품코드!B:D,3,0)</f>
        <v>#N/A</v>
      </c>
      <c r="K131" s="8" t="e">
        <f t="shared" ref="K131:K182" si="11">I131*J131</f>
        <v>#N/A</v>
      </c>
    </row>
    <row r="132" spans="2:11" ht="15.6">
      <c r="B132" s="5">
        <f>DATA!B132</f>
        <v>0</v>
      </c>
      <c r="C132" s="6" t="e">
        <f>VLOOKUP(B132,점포명!B:C,2,0)</f>
        <v>#N/A</v>
      </c>
      <c r="D132" s="5">
        <f>DATA!B132</f>
        <v>0</v>
      </c>
      <c r="E132" s="6" t="e">
        <f>VLOOKUP(D132,점포명!B:C,2,0)</f>
        <v>#N/A</v>
      </c>
      <c r="F132" s="7">
        <f>DATA!C132</f>
        <v>0</v>
      </c>
      <c r="G132" s="16" t="e">
        <f>VLOOKUP(F132,제품코드!A:C,2,0)</f>
        <v>#N/A</v>
      </c>
      <c r="H132" s="21"/>
      <c r="I132" s="17">
        <f>DATA!L132</f>
        <v>0</v>
      </c>
      <c r="J132" s="15" t="e">
        <f>VLOOKUP(G132,제품코드!B:D,3,0)</f>
        <v>#N/A</v>
      </c>
      <c r="K132" s="8" t="e">
        <f t="shared" si="11"/>
        <v>#N/A</v>
      </c>
    </row>
    <row r="133" spans="2:11" ht="15.6">
      <c r="B133" s="5">
        <f>DATA!B133</f>
        <v>0</v>
      </c>
      <c r="C133" s="6" t="e">
        <f>VLOOKUP(B133,점포명!B:C,2,0)</f>
        <v>#N/A</v>
      </c>
      <c r="D133" s="5">
        <f>DATA!B133</f>
        <v>0</v>
      </c>
      <c r="E133" s="6" t="e">
        <f>VLOOKUP(D133,점포명!B:C,2,0)</f>
        <v>#N/A</v>
      </c>
      <c r="F133" s="7">
        <f>DATA!C133</f>
        <v>0</v>
      </c>
      <c r="G133" s="16" t="e">
        <f>VLOOKUP(F133,제품코드!A:C,2,0)</f>
        <v>#N/A</v>
      </c>
      <c r="H133" s="21"/>
      <c r="I133" s="17">
        <f>DATA!L133</f>
        <v>0</v>
      </c>
      <c r="J133" s="15" t="e">
        <f>VLOOKUP(G133,제품코드!B:D,3,0)</f>
        <v>#N/A</v>
      </c>
      <c r="K133" s="8" t="e">
        <f t="shared" si="11"/>
        <v>#N/A</v>
      </c>
    </row>
    <row r="134" spans="2:11" ht="15.6">
      <c r="B134" s="5">
        <f>DATA!B134</f>
        <v>0</v>
      </c>
      <c r="C134" s="6" t="e">
        <f>VLOOKUP(B134,점포명!B:C,2,0)</f>
        <v>#N/A</v>
      </c>
      <c r="D134" s="5">
        <f>DATA!B134</f>
        <v>0</v>
      </c>
      <c r="E134" s="6" t="e">
        <f>VLOOKUP(D134,점포명!B:C,2,0)</f>
        <v>#N/A</v>
      </c>
      <c r="F134" s="7">
        <f>DATA!C134</f>
        <v>0</v>
      </c>
      <c r="G134" s="16" t="e">
        <f>VLOOKUP(F134,제품코드!A:C,2,0)</f>
        <v>#N/A</v>
      </c>
      <c r="H134" s="21"/>
      <c r="I134" s="17">
        <f>DATA!L134</f>
        <v>0</v>
      </c>
      <c r="J134" s="15" t="e">
        <f>VLOOKUP(G134,제품코드!B:D,3,0)</f>
        <v>#N/A</v>
      </c>
      <c r="K134" s="8" t="e">
        <f t="shared" si="11"/>
        <v>#N/A</v>
      </c>
    </row>
    <row r="135" spans="2:11" ht="15.6">
      <c r="B135" s="5">
        <f>DATA!B135</f>
        <v>0</v>
      </c>
      <c r="C135" s="6" t="e">
        <f>VLOOKUP(B135,점포명!B:C,2,0)</f>
        <v>#N/A</v>
      </c>
      <c r="D135" s="5">
        <f>DATA!B135</f>
        <v>0</v>
      </c>
      <c r="E135" s="6" t="e">
        <f>VLOOKUP(D135,점포명!B:C,2,0)</f>
        <v>#N/A</v>
      </c>
      <c r="F135" s="7">
        <f>DATA!C135</f>
        <v>0</v>
      </c>
      <c r="G135" s="16" t="e">
        <f>VLOOKUP(F135,제품코드!A:C,2,0)</f>
        <v>#N/A</v>
      </c>
      <c r="H135" s="21"/>
      <c r="I135" s="17">
        <f>DATA!L135</f>
        <v>0</v>
      </c>
      <c r="J135" s="15" t="e">
        <f>VLOOKUP(G135,제품코드!B:D,3,0)</f>
        <v>#N/A</v>
      </c>
      <c r="K135" s="8" t="e">
        <f t="shared" si="11"/>
        <v>#N/A</v>
      </c>
    </row>
    <row r="136" spans="2:11" ht="15.6">
      <c r="B136" s="5">
        <f>DATA!B136</f>
        <v>0</v>
      </c>
      <c r="C136" s="6" t="e">
        <f>VLOOKUP(B136,점포명!B:C,2,0)</f>
        <v>#N/A</v>
      </c>
      <c r="D136" s="5">
        <f>DATA!B136</f>
        <v>0</v>
      </c>
      <c r="E136" s="6" t="e">
        <f>VLOOKUP(D136,점포명!B:C,2,0)</f>
        <v>#N/A</v>
      </c>
      <c r="F136" s="7">
        <f>DATA!C136</f>
        <v>0</v>
      </c>
      <c r="G136" s="16" t="e">
        <f>VLOOKUP(F136,제품코드!A:C,2,0)</f>
        <v>#N/A</v>
      </c>
      <c r="H136" s="21"/>
      <c r="I136" s="17">
        <f>DATA!L136</f>
        <v>0</v>
      </c>
      <c r="J136" s="15" t="e">
        <f>VLOOKUP(G136,제품코드!B:D,3,0)</f>
        <v>#N/A</v>
      </c>
      <c r="K136" s="8" t="e">
        <f t="shared" si="11"/>
        <v>#N/A</v>
      </c>
    </row>
    <row r="137" spans="2:11" ht="15.6">
      <c r="B137" s="5">
        <f>DATA!B137</f>
        <v>0</v>
      </c>
      <c r="C137" s="6" t="e">
        <f>VLOOKUP(B137,점포명!B:C,2,0)</f>
        <v>#N/A</v>
      </c>
      <c r="D137" s="5">
        <f>DATA!B137</f>
        <v>0</v>
      </c>
      <c r="E137" s="6" t="e">
        <f>VLOOKUP(D137,점포명!B:C,2,0)</f>
        <v>#N/A</v>
      </c>
      <c r="F137" s="7">
        <f>DATA!C137</f>
        <v>0</v>
      </c>
      <c r="G137" s="16" t="e">
        <f>VLOOKUP(F137,제품코드!A:C,2,0)</f>
        <v>#N/A</v>
      </c>
      <c r="H137" s="21"/>
      <c r="I137" s="17">
        <f>DATA!L137</f>
        <v>0</v>
      </c>
      <c r="J137" s="15" t="e">
        <f>VLOOKUP(G137,제품코드!B:D,3,0)</f>
        <v>#N/A</v>
      </c>
      <c r="K137" s="8" t="e">
        <f t="shared" si="11"/>
        <v>#N/A</v>
      </c>
    </row>
    <row r="138" spans="2:11" ht="15.6">
      <c r="B138" s="5">
        <f>DATA!B138</f>
        <v>0</v>
      </c>
      <c r="C138" s="6" t="e">
        <f>VLOOKUP(B138,점포명!B:C,2,0)</f>
        <v>#N/A</v>
      </c>
      <c r="D138" s="5">
        <f>DATA!B138</f>
        <v>0</v>
      </c>
      <c r="E138" s="6" t="e">
        <f>VLOOKUP(D138,점포명!B:C,2,0)</f>
        <v>#N/A</v>
      </c>
      <c r="F138" s="7">
        <f>DATA!C138</f>
        <v>0</v>
      </c>
      <c r="G138" s="16" t="e">
        <f>VLOOKUP(F138,제품코드!A:C,2,0)</f>
        <v>#N/A</v>
      </c>
      <c r="H138" s="21"/>
      <c r="I138" s="17">
        <f>DATA!L138</f>
        <v>0</v>
      </c>
      <c r="J138" s="15" t="e">
        <f>VLOOKUP(G138,제품코드!B:D,3,0)</f>
        <v>#N/A</v>
      </c>
      <c r="K138" s="8" t="e">
        <f t="shared" si="11"/>
        <v>#N/A</v>
      </c>
    </row>
    <row r="139" spans="2:11" ht="15.6">
      <c r="B139" s="5">
        <f>DATA!B139</f>
        <v>0</v>
      </c>
      <c r="C139" s="6" t="e">
        <f>VLOOKUP(B139,점포명!B:C,2,0)</f>
        <v>#N/A</v>
      </c>
      <c r="D139" s="5">
        <f>DATA!B139</f>
        <v>0</v>
      </c>
      <c r="E139" s="6" t="e">
        <f>VLOOKUP(D139,점포명!B:C,2,0)</f>
        <v>#N/A</v>
      </c>
      <c r="F139" s="7">
        <f>DATA!C139</f>
        <v>0</v>
      </c>
      <c r="G139" s="16" t="e">
        <f>VLOOKUP(F139,제품코드!A:C,2,0)</f>
        <v>#N/A</v>
      </c>
      <c r="H139" s="21"/>
      <c r="I139" s="17">
        <f>DATA!L139</f>
        <v>0</v>
      </c>
      <c r="J139" s="15" t="e">
        <f>VLOOKUP(G139,제품코드!B:D,3,0)</f>
        <v>#N/A</v>
      </c>
      <c r="K139" s="8" t="e">
        <f t="shared" si="11"/>
        <v>#N/A</v>
      </c>
    </row>
    <row r="140" spans="2:11" ht="15.6">
      <c r="B140" s="5">
        <f>DATA!B140</f>
        <v>0</v>
      </c>
      <c r="C140" s="6" t="e">
        <f>VLOOKUP(B140,점포명!B:C,2,0)</f>
        <v>#N/A</v>
      </c>
      <c r="D140" s="5">
        <f>DATA!B140</f>
        <v>0</v>
      </c>
      <c r="E140" s="6" t="e">
        <f>VLOOKUP(D140,점포명!B:C,2,0)</f>
        <v>#N/A</v>
      </c>
      <c r="F140" s="7">
        <f>DATA!C140</f>
        <v>0</v>
      </c>
      <c r="G140" s="16" t="e">
        <f>VLOOKUP(F140,제품코드!A:C,2,0)</f>
        <v>#N/A</v>
      </c>
      <c r="H140" s="21"/>
      <c r="I140" s="17">
        <f>DATA!L140</f>
        <v>0</v>
      </c>
      <c r="J140" s="15" t="e">
        <f>VLOOKUP(G140,제품코드!B:D,3,0)</f>
        <v>#N/A</v>
      </c>
      <c r="K140" s="8" t="e">
        <f t="shared" si="11"/>
        <v>#N/A</v>
      </c>
    </row>
    <row r="141" spans="2:11" ht="15.6">
      <c r="B141" s="5">
        <f>DATA!B141</f>
        <v>0</v>
      </c>
      <c r="C141" s="6" t="e">
        <f>VLOOKUP(B141,점포명!B:C,2,0)</f>
        <v>#N/A</v>
      </c>
      <c r="D141" s="5">
        <f>DATA!B141</f>
        <v>0</v>
      </c>
      <c r="E141" s="6" t="e">
        <f>VLOOKUP(D141,점포명!B:C,2,0)</f>
        <v>#N/A</v>
      </c>
      <c r="F141" s="7">
        <f>DATA!C141</f>
        <v>0</v>
      </c>
      <c r="G141" s="16" t="e">
        <f>VLOOKUP(F141,제품코드!A:C,2,0)</f>
        <v>#N/A</v>
      </c>
      <c r="H141" s="21"/>
      <c r="I141" s="17">
        <f>DATA!L141</f>
        <v>0</v>
      </c>
      <c r="J141" s="15" t="e">
        <f>VLOOKUP(G141,제품코드!B:D,3,0)</f>
        <v>#N/A</v>
      </c>
      <c r="K141" s="8" t="e">
        <f t="shared" si="11"/>
        <v>#N/A</v>
      </c>
    </row>
    <row r="142" spans="2:11" ht="15.6">
      <c r="B142" s="5">
        <f>DATA!B142</f>
        <v>0</v>
      </c>
      <c r="C142" s="6" t="e">
        <f>VLOOKUP(B142,점포명!B:C,2,0)</f>
        <v>#N/A</v>
      </c>
      <c r="D142" s="5">
        <f>DATA!B142</f>
        <v>0</v>
      </c>
      <c r="E142" s="6" t="e">
        <f>VLOOKUP(D142,점포명!B:C,2,0)</f>
        <v>#N/A</v>
      </c>
      <c r="F142" s="7">
        <f>DATA!C142</f>
        <v>0</v>
      </c>
      <c r="G142" s="16" t="e">
        <f>VLOOKUP(F142,제품코드!A:C,2,0)</f>
        <v>#N/A</v>
      </c>
      <c r="H142" s="21"/>
      <c r="I142" s="17">
        <f>DATA!L142</f>
        <v>0</v>
      </c>
      <c r="J142" s="15" t="e">
        <f>VLOOKUP(G142,제품코드!B:D,3,0)</f>
        <v>#N/A</v>
      </c>
      <c r="K142" s="8" t="e">
        <f t="shared" si="11"/>
        <v>#N/A</v>
      </c>
    </row>
    <row r="143" spans="2:11" ht="15.6">
      <c r="B143" s="5">
        <f>DATA!B143</f>
        <v>0</v>
      </c>
      <c r="C143" s="6" t="e">
        <f>VLOOKUP(B143,점포명!B:C,2,0)</f>
        <v>#N/A</v>
      </c>
      <c r="D143" s="5">
        <f>DATA!B143</f>
        <v>0</v>
      </c>
      <c r="E143" s="6" t="e">
        <f>VLOOKUP(D143,점포명!B:C,2,0)</f>
        <v>#N/A</v>
      </c>
      <c r="F143" s="7">
        <f>DATA!C143</f>
        <v>0</v>
      </c>
      <c r="G143" s="16" t="e">
        <f>VLOOKUP(F143,제품코드!A:C,2,0)</f>
        <v>#N/A</v>
      </c>
      <c r="H143" s="21"/>
      <c r="I143" s="17">
        <f>DATA!L143</f>
        <v>0</v>
      </c>
      <c r="J143" s="15" t="e">
        <f>VLOOKUP(G143,제품코드!B:D,3,0)</f>
        <v>#N/A</v>
      </c>
      <c r="K143" s="8" t="e">
        <f t="shared" si="11"/>
        <v>#N/A</v>
      </c>
    </row>
    <row r="144" spans="2:11" ht="15.6">
      <c r="B144" s="5">
        <f>DATA!B144</f>
        <v>0</v>
      </c>
      <c r="C144" s="6" t="e">
        <f>VLOOKUP(B144,점포명!B:C,2,0)</f>
        <v>#N/A</v>
      </c>
      <c r="D144" s="5">
        <f>DATA!B144</f>
        <v>0</v>
      </c>
      <c r="E144" s="6" t="e">
        <f>VLOOKUP(D144,점포명!B:C,2,0)</f>
        <v>#N/A</v>
      </c>
      <c r="F144" s="7">
        <f>DATA!C144</f>
        <v>0</v>
      </c>
      <c r="G144" s="16" t="e">
        <f>VLOOKUP(F144,제품코드!A:C,2,0)</f>
        <v>#N/A</v>
      </c>
      <c r="H144" s="21"/>
      <c r="I144" s="17">
        <f>DATA!L144</f>
        <v>0</v>
      </c>
      <c r="J144" s="15" t="e">
        <f>VLOOKUP(G144,제품코드!B:D,3,0)</f>
        <v>#N/A</v>
      </c>
      <c r="K144" s="8" t="e">
        <f t="shared" si="11"/>
        <v>#N/A</v>
      </c>
    </row>
    <row r="145" spans="2:11" ht="15.6">
      <c r="B145" s="5">
        <f>DATA!B145</f>
        <v>0</v>
      </c>
      <c r="C145" s="6" t="e">
        <f>VLOOKUP(B145,점포명!B:C,2,0)</f>
        <v>#N/A</v>
      </c>
      <c r="D145" s="5">
        <f>DATA!B145</f>
        <v>0</v>
      </c>
      <c r="E145" s="6" t="e">
        <f>VLOOKUP(D145,점포명!B:C,2,0)</f>
        <v>#N/A</v>
      </c>
      <c r="F145" s="7">
        <f>DATA!C145</f>
        <v>0</v>
      </c>
      <c r="G145" s="16" t="e">
        <f>VLOOKUP(F145,제품코드!A:C,2,0)</f>
        <v>#N/A</v>
      </c>
      <c r="H145" s="21"/>
      <c r="I145" s="17">
        <f>DATA!L145</f>
        <v>0</v>
      </c>
      <c r="J145" s="15" t="e">
        <f>VLOOKUP(G145,제품코드!B:D,3,0)</f>
        <v>#N/A</v>
      </c>
      <c r="K145" s="8" t="e">
        <f t="shared" si="11"/>
        <v>#N/A</v>
      </c>
    </row>
    <row r="146" spans="2:11" ht="15.6">
      <c r="B146" s="5">
        <f>DATA!B146</f>
        <v>0</v>
      </c>
      <c r="C146" s="6" t="e">
        <f>VLOOKUP(B146,점포명!B:C,2,0)</f>
        <v>#N/A</v>
      </c>
      <c r="D146" s="5">
        <f>DATA!B146</f>
        <v>0</v>
      </c>
      <c r="E146" s="6" t="e">
        <f>VLOOKUP(D146,점포명!B:C,2,0)</f>
        <v>#N/A</v>
      </c>
      <c r="F146" s="7">
        <f>DATA!C146</f>
        <v>0</v>
      </c>
      <c r="G146" s="16" t="e">
        <f>VLOOKUP(F146,제품코드!A:C,2,0)</f>
        <v>#N/A</v>
      </c>
      <c r="H146" s="21"/>
      <c r="I146" s="17">
        <f>DATA!L146</f>
        <v>0</v>
      </c>
      <c r="J146" s="15" t="e">
        <f>VLOOKUP(G146,제품코드!B:D,3,0)</f>
        <v>#N/A</v>
      </c>
      <c r="K146" s="8" t="e">
        <f t="shared" si="11"/>
        <v>#N/A</v>
      </c>
    </row>
    <row r="147" spans="2:11" ht="15.6">
      <c r="B147" s="5">
        <f>DATA!B147</f>
        <v>0</v>
      </c>
      <c r="C147" s="6" t="e">
        <f>VLOOKUP(B147,점포명!B:C,2,0)</f>
        <v>#N/A</v>
      </c>
      <c r="D147" s="5">
        <f>DATA!B147</f>
        <v>0</v>
      </c>
      <c r="E147" s="6" t="e">
        <f>VLOOKUP(D147,점포명!B:C,2,0)</f>
        <v>#N/A</v>
      </c>
      <c r="F147" s="7">
        <f>DATA!C147</f>
        <v>0</v>
      </c>
      <c r="G147" s="16" t="e">
        <f>VLOOKUP(F147,제품코드!A:C,2,0)</f>
        <v>#N/A</v>
      </c>
      <c r="H147" s="21"/>
      <c r="I147" s="17">
        <f>DATA!L147</f>
        <v>0</v>
      </c>
      <c r="J147" s="15" t="e">
        <f>VLOOKUP(G147,제품코드!B:D,3,0)</f>
        <v>#N/A</v>
      </c>
      <c r="K147" s="8" t="e">
        <f t="shared" si="11"/>
        <v>#N/A</v>
      </c>
    </row>
    <row r="148" spans="2:11" ht="15.6">
      <c r="B148" s="5">
        <f>DATA!B148</f>
        <v>0</v>
      </c>
      <c r="C148" s="6" t="e">
        <f>VLOOKUP(B148,점포명!B:C,2,0)</f>
        <v>#N/A</v>
      </c>
      <c r="D148" s="5">
        <f>DATA!B148</f>
        <v>0</v>
      </c>
      <c r="E148" s="6" t="e">
        <f>VLOOKUP(D148,점포명!B:C,2,0)</f>
        <v>#N/A</v>
      </c>
      <c r="F148" s="7">
        <f>DATA!C148</f>
        <v>0</v>
      </c>
      <c r="G148" s="16" t="e">
        <f>VLOOKUP(F148,제품코드!A:C,2,0)</f>
        <v>#N/A</v>
      </c>
      <c r="H148" s="21"/>
      <c r="I148" s="17">
        <f>DATA!L148</f>
        <v>0</v>
      </c>
      <c r="J148" s="15" t="e">
        <f>VLOOKUP(G148,제품코드!B:D,3,0)</f>
        <v>#N/A</v>
      </c>
      <c r="K148" s="8" t="e">
        <f t="shared" si="11"/>
        <v>#N/A</v>
      </c>
    </row>
    <row r="149" spans="2:11" ht="15.6">
      <c r="B149" s="5">
        <f>DATA!B149</f>
        <v>0</v>
      </c>
      <c r="C149" s="6" t="e">
        <f>VLOOKUP(B149,점포명!B:C,2,0)</f>
        <v>#N/A</v>
      </c>
      <c r="D149" s="5">
        <f>DATA!B149</f>
        <v>0</v>
      </c>
      <c r="E149" s="6" t="e">
        <f>VLOOKUP(D149,점포명!B:C,2,0)</f>
        <v>#N/A</v>
      </c>
      <c r="F149" s="7">
        <f>DATA!C149</f>
        <v>0</v>
      </c>
      <c r="G149" s="16" t="e">
        <f>VLOOKUP(F149,제품코드!A:C,2,0)</f>
        <v>#N/A</v>
      </c>
      <c r="H149" s="21"/>
      <c r="I149" s="17">
        <f>DATA!L149</f>
        <v>0</v>
      </c>
      <c r="J149" s="15" t="e">
        <f>VLOOKUP(G149,제품코드!B:D,3,0)</f>
        <v>#N/A</v>
      </c>
      <c r="K149" s="8" t="e">
        <f t="shared" si="11"/>
        <v>#N/A</v>
      </c>
    </row>
    <row r="150" spans="2:11" ht="15.6">
      <c r="B150" s="5">
        <f>DATA!B150</f>
        <v>0</v>
      </c>
      <c r="C150" s="6" t="e">
        <f>VLOOKUP(B150,점포명!B:C,2,0)</f>
        <v>#N/A</v>
      </c>
      <c r="D150" s="5">
        <f>DATA!B150</f>
        <v>0</v>
      </c>
      <c r="E150" s="6" t="e">
        <f>VLOOKUP(D150,점포명!B:C,2,0)</f>
        <v>#N/A</v>
      </c>
      <c r="F150" s="7">
        <f>DATA!C150</f>
        <v>0</v>
      </c>
      <c r="G150" s="16" t="e">
        <f>VLOOKUP(F150,제품코드!A:C,2,0)</f>
        <v>#N/A</v>
      </c>
      <c r="H150" s="21"/>
      <c r="I150" s="17">
        <f>DATA!L150</f>
        <v>0</v>
      </c>
      <c r="J150" s="15" t="e">
        <f>VLOOKUP(G150,제품코드!B:D,3,0)</f>
        <v>#N/A</v>
      </c>
      <c r="K150" s="8" t="e">
        <f t="shared" si="11"/>
        <v>#N/A</v>
      </c>
    </row>
    <row r="151" spans="2:11" ht="15.6">
      <c r="B151" s="5">
        <f>DATA!B151</f>
        <v>0</v>
      </c>
      <c r="C151" s="6" t="e">
        <f>VLOOKUP(B151,점포명!B:C,2,0)</f>
        <v>#N/A</v>
      </c>
      <c r="D151" s="5">
        <f>DATA!B151</f>
        <v>0</v>
      </c>
      <c r="E151" s="6" t="e">
        <f>VLOOKUP(D151,점포명!B:C,2,0)</f>
        <v>#N/A</v>
      </c>
      <c r="F151" s="7">
        <f>DATA!C151</f>
        <v>0</v>
      </c>
      <c r="G151" s="16" t="e">
        <f>VLOOKUP(F151,제품코드!A:C,2,0)</f>
        <v>#N/A</v>
      </c>
      <c r="H151" s="21"/>
      <c r="I151" s="17">
        <f>DATA!L151</f>
        <v>0</v>
      </c>
      <c r="J151" s="15" t="e">
        <f>VLOOKUP(G151,제품코드!B:D,3,0)</f>
        <v>#N/A</v>
      </c>
      <c r="K151" s="8" t="e">
        <f t="shared" si="11"/>
        <v>#N/A</v>
      </c>
    </row>
    <row r="152" spans="2:11" ht="15.6">
      <c r="B152" s="5">
        <f>DATA!B152</f>
        <v>0</v>
      </c>
      <c r="C152" s="6" t="e">
        <f>VLOOKUP(B152,점포명!B:C,2,0)</f>
        <v>#N/A</v>
      </c>
      <c r="D152" s="5">
        <f>DATA!B152</f>
        <v>0</v>
      </c>
      <c r="E152" s="6" t="e">
        <f>VLOOKUP(D152,점포명!B:C,2,0)</f>
        <v>#N/A</v>
      </c>
      <c r="F152" s="7">
        <f>DATA!C152</f>
        <v>0</v>
      </c>
      <c r="G152" s="16" t="e">
        <f>VLOOKUP(F152,제품코드!A:C,2,0)</f>
        <v>#N/A</v>
      </c>
      <c r="H152" s="21"/>
      <c r="I152" s="17">
        <f>DATA!L152</f>
        <v>0</v>
      </c>
      <c r="J152" s="15" t="e">
        <f>VLOOKUP(G152,제품코드!B:D,3,0)</f>
        <v>#N/A</v>
      </c>
      <c r="K152" s="8" t="e">
        <f t="shared" si="11"/>
        <v>#N/A</v>
      </c>
    </row>
    <row r="153" spans="2:11" ht="15.6">
      <c r="B153" s="5">
        <f>DATA!B153</f>
        <v>0</v>
      </c>
      <c r="C153" s="6" t="e">
        <f>VLOOKUP(B153,점포명!B:C,2,0)</f>
        <v>#N/A</v>
      </c>
      <c r="D153" s="5">
        <f>DATA!B153</f>
        <v>0</v>
      </c>
      <c r="E153" s="6" t="e">
        <f>VLOOKUP(D153,점포명!B:C,2,0)</f>
        <v>#N/A</v>
      </c>
      <c r="F153" s="7">
        <f>DATA!C153</f>
        <v>0</v>
      </c>
      <c r="G153" s="16" t="e">
        <f>VLOOKUP(F153,제품코드!A:C,2,0)</f>
        <v>#N/A</v>
      </c>
      <c r="H153" s="21"/>
      <c r="I153" s="17">
        <f>DATA!L153</f>
        <v>0</v>
      </c>
      <c r="J153" s="15" t="e">
        <f>VLOOKUP(G153,제품코드!B:D,3,0)</f>
        <v>#N/A</v>
      </c>
      <c r="K153" s="8" t="e">
        <f t="shared" si="11"/>
        <v>#N/A</v>
      </c>
    </row>
    <row r="154" spans="2:11" ht="15.6">
      <c r="B154" s="5">
        <f>DATA!B154</f>
        <v>0</v>
      </c>
      <c r="C154" s="6" t="e">
        <f>VLOOKUP(B154,점포명!B:C,2,0)</f>
        <v>#N/A</v>
      </c>
      <c r="D154" s="5">
        <f>DATA!B154</f>
        <v>0</v>
      </c>
      <c r="E154" s="6" t="e">
        <f>VLOOKUP(D154,점포명!B:C,2,0)</f>
        <v>#N/A</v>
      </c>
      <c r="F154" s="7">
        <f>DATA!C154</f>
        <v>0</v>
      </c>
      <c r="G154" s="16" t="e">
        <f>VLOOKUP(F154,제품코드!A:C,2,0)</f>
        <v>#N/A</v>
      </c>
      <c r="H154" s="21"/>
      <c r="I154" s="17">
        <f>DATA!L154</f>
        <v>0</v>
      </c>
      <c r="J154" s="15" t="e">
        <f>VLOOKUP(G154,제품코드!B:D,3,0)</f>
        <v>#N/A</v>
      </c>
      <c r="K154" s="8" t="e">
        <f t="shared" si="11"/>
        <v>#N/A</v>
      </c>
    </row>
    <row r="155" spans="2:11" ht="15.6">
      <c r="B155" s="5">
        <f>DATA!B155</f>
        <v>0</v>
      </c>
      <c r="C155" s="6" t="e">
        <f>VLOOKUP(B155,점포명!B:C,2,0)</f>
        <v>#N/A</v>
      </c>
      <c r="D155" s="5">
        <f>DATA!B155</f>
        <v>0</v>
      </c>
      <c r="E155" s="6" t="e">
        <f>VLOOKUP(D155,점포명!B:C,2,0)</f>
        <v>#N/A</v>
      </c>
      <c r="F155" s="7">
        <f>DATA!C155</f>
        <v>0</v>
      </c>
      <c r="G155" s="16" t="e">
        <f>VLOOKUP(F155,제품코드!A:C,2,0)</f>
        <v>#N/A</v>
      </c>
      <c r="H155" s="21"/>
      <c r="I155" s="17">
        <f>DATA!L155</f>
        <v>0</v>
      </c>
      <c r="J155" s="15" t="e">
        <f>VLOOKUP(G155,제품코드!B:D,3,0)</f>
        <v>#N/A</v>
      </c>
      <c r="K155" s="8" t="e">
        <f t="shared" si="11"/>
        <v>#N/A</v>
      </c>
    </row>
    <row r="156" spans="2:11" ht="15.6">
      <c r="B156" s="5">
        <f>DATA!B156</f>
        <v>0</v>
      </c>
      <c r="C156" s="6" t="e">
        <f>VLOOKUP(B156,점포명!B:C,2,0)</f>
        <v>#N/A</v>
      </c>
      <c r="D156" s="5">
        <f>DATA!B156</f>
        <v>0</v>
      </c>
      <c r="E156" s="6" t="e">
        <f>VLOOKUP(D156,점포명!B:C,2,0)</f>
        <v>#N/A</v>
      </c>
      <c r="F156" s="7">
        <f>DATA!C156</f>
        <v>0</v>
      </c>
      <c r="G156" s="16" t="e">
        <f>VLOOKUP(F156,제품코드!A:C,2,0)</f>
        <v>#N/A</v>
      </c>
      <c r="H156" s="21"/>
      <c r="I156" s="17">
        <f>DATA!L156</f>
        <v>0</v>
      </c>
      <c r="J156" s="15" t="e">
        <f>VLOOKUP(G156,제품코드!B:D,3,0)</f>
        <v>#N/A</v>
      </c>
      <c r="K156" s="8" t="e">
        <f t="shared" si="11"/>
        <v>#N/A</v>
      </c>
    </row>
    <row r="157" spans="2:11" ht="15.6">
      <c r="B157" s="5">
        <f>DATA!B157</f>
        <v>0</v>
      </c>
      <c r="C157" s="6" t="e">
        <f>VLOOKUP(B157,점포명!B:C,2,0)</f>
        <v>#N/A</v>
      </c>
      <c r="D157" s="5">
        <f>DATA!B157</f>
        <v>0</v>
      </c>
      <c r="E157" s="6" t="e">
        <f>VLOOKUP(D157,점포명!B:C,2,0)</f>
        <v>#N/A</v>
      </c>
      <c r="F157" s="7">
        <f>DATA!C157</f>
        <v>0</v>
      </c>
      <c r="G157" s="16" t="e">
        <f>VLOOKUP(F157,제품코드!A:C,2,0)</f>
        <v>#N/A</v>
      </c>
      <c r="H157" s="21"/>
      <c r="I157" s="17">
        <f>DATA!L157</f>
        <v>0</v>
      </c>
      <c r="J157" s="15" t="e">
        <f>VLOOKUP(G157,제품코드!B:D,3,0)</f>
        <v>#N/A</v>
      </c>
      <c r="K157" s="8" t="e">
        <f t="shared" si="11"/>
        <v>#N/A</v>
      </c>
    </row>
    <row r="158" spans="2:11" ht="15.6">
      <c r="B158" s="5">
        <f>DATA!B158</f>
        <v>0</v>
      </c>
      <c r="C158" s="6" t="e">
        <f>VLOOKUP(B158,점포명!B:C,2,0)</f>
        <v>#N/A</v>
      </c>
      <c r="D158" s="5">
        <f>DATA!B158</f>
        <v>0</v>
      </c>
      <c r="E158" s="6" t="e">
        <f>VLOOKUP(D158,점포명!B:C,2,0)</f>
        <v>#N/A</v>
      </c>
      <c r="F158" s="7">
        <f>DATA!C158</f>
        <v>0</v>
      </c>
      <c r="G158" s="16" t="e">
        <f>VLOOKUP(F158,제품코드!A:C,2,0)</f>
        <v>#N/A</v>
      </c>
      <c r="H158" s="21"/>
      <c r="I158" s="17">
        <f>DATA!L158</f>
        <v>0</v>
      </c>
      <c r="J158" s="15" t="e">
        <f>VLOOKUP(G158,제품코드!B:D,3,0)</f>
        <v>#N/A</v>
      </c>
      <c r="K158" s="8" t="e">
        <f t="shared" si="11"/>
        <v>#N/A</v>
      </c>
    </row>
    <row r="159" spans="2:11" ht="15.6">
      <c r="B159" s="5">
        <f>DATA!B159</f>
        <v>0</v>
      </c>
      <c r="C159" s="6" t="e">
        <f>VLOOKUP(B159,점포명!B:C,2,0)</f>
        <v>#N/A</v>
      </c>
      <c r="D159" s="5">
        <f>DATA!B159</f>
        <v>0</v>
      </c>
      <c r="E159" s="6" t="e">
        <f>VLOOKUP(D159,점포명!B:C,2,0)</f>
        <v>#N/A</v>
      </c>
      <c r="F159" s="7">
        <f>DATA!C159</f>
        <v>0</v>
      </c>
      <c r="G159" s="16" t="e">
        <f>VLOOKUP(F159,제품코드!A:C,2,0)</f>
        <v>#N/A</v>
      </c>
      <c r="H159" s="21"/>
      <c r="I159" s="17">
        <f>DATA!L159</f>
        <v>0</v>
      </c>
      <c r="J159" s="15" t="e">
        <f>VLOOKUP(G159,제품코드!B:D,3,0)</f>
        <v>#N/A</v>
      </c>
      <c r="K159" s="8" t="e">
        <f t="shared" si="11"/>
        <v>#N/A</v>
      </c>
    </row>
    <row r="160" spans="2:11" ht="15.6">
      <c r="B160" s="5">
        <f>DATA!B160</f>
        <v>0</v>
      </c>
      <c r="C160" s="6" t="e">
        <f>VLOOKUP(B160,점포명!B:C,2,0)</f>
        <v>#N/A</v>
      </c>
      <c r="D160" s="5">
        <f>DATA!B160</f>
        <v>0</v>
      </c>
      <c r="E160" s="6" t="e">
        <f>VLOOKUP(D160,점포명!B:C,2,0)</f>
        <v>#N/A</v>
      </c>
      <c r="F160" s="7">
        <f>DATA!C160</f>
        <v>0</v>
      </c>
      <c r="G160" s="16" t="e">
        <f>VLOOKUP(F160,제품코드!A:C,2,0)</f>
        <v>#N/A</v>
      </c>
      <c r="H160" s="21"/>
      <c r="I160" s="17">
        <f>DATA!L160</f>
        <v>0</v>
      </c>
      <c r="J160" s="15" t="e">
        <f>VLOOKUP(G160,제품코드!B:D,3,0)</f>
        <v>#N/A</v>
      </c>
      <c r="K160" s="8" t="e">
        <f t="shared" si="11"/>
        <v>#N/A</v>
      </c>
    </row>
    <row r="161" spans="2:11" ht="15.6">
      <c r="B161" s="5">
        <f>DATA!B161</f>
        <v>0</v>
      </c>
      <c r="C161" s="6" t="e">
        <f>VLOOKUP(B161,점포명!B:C,2,0)</f>
        <v>#N/A</v>
      </c>
      <c r="D161" s="5">
        <f>DATA!B161</f>
        <v>0</v>
      </c>
      <c r="E161" s="6" t="e">
        <f>VLOOKUP(D161,점포명!B:C,2,0)</f>
        <v>#N/A</v>
      </c>
      <c r="F161" s="7">
        <f>DATA!C161</f>
        <v>0</v>
      </c>
      <c r="G161" s="16" t="e">
        <f>VLOOKUP(F161,제품코드!A:C,2,0)</f>
        <v>#N/A</v>
      </c>
      <c r="H161" s="21"/>
      <c r="I161" s="17">
        <f>DATA!L161</f>
        <v>0</v>
      </c>
      <c r="J161" s="15" t="e">
        <f>VLOOKUP(G161,제품코드!B:D,3,0)</f>
        <v>#N/A</v>
      </c>
      <c r="K161" s="8" t="e">
        <f t="shared" si="11"/>
        <v>#N/A</v>
      </c>
    </row>
    <row r="162" spans="2:11" ht="15.6">
      <c r="B162" s="5">
        <f>DATA!B162</f>
        <v>0</v>
      </c>
      <c r="C162" s="6" t="e">
        <f>VLOOKUP(B162,점포명!B:C,2,0)</f>
        <v>#N/A</v>
      </c>
      <c r="D162" s="5">
        <f>DATA!B162</f>
        <v>0</v>
      </c>
      <c r="E162" s="6" t="e">
        <f>VLOOKUP(D162,점포명!B:C,2,0)</f>
        <v>#N/A</v>
      </c>
      <c r="F162" s="7">
        <f>DATA!C162</f>
        <v>0</v>
      </c>
      <c r="G162" s="16" t="e">
        <f>VLOOKUP(F162,제품코드!A:C,2,0)</f>
        <v>#N/A</v>
      </c>
      <c r="H162" s="21"/>
      <c r="I162" s="17">
        <f>DATA!L162</f>
        <v>0</v>
      </c>
      <c r="J162" s="15" t="e">
        <f>VLOOKUP(G162,제품코드!B:D,3,0)</f>
        <v>#N/A</v>
      </c>
      <c r="K162" s="8" t="e">
        <f t="shared" si="11"/>
        <v>#N/A</v>
      </c>
    </row>
    <row r="163" spans="2:11" ht="15.6">
      <c r="B163" s="5">
        <f>DATA!B163</f>
        <v>0</v>
      </c>
      <c r="C163" s="6" t="e">
        <f>VLOOKUP(B163,점포명!B:C,2,0)</f>
        <v>#N/A</v>
      </c>
      <c r="D163" s="5">
        <f>DATA!B163</f>
        <v>0</v>
      </c>
      <c r="E163" s="6" t="e">
        <f>VLOOKUP(D163,점포명!B:C,2,0)</f>
        <v>#N/A</v>
      </c>
      <c r="F163" s="7">
        <f>DATA!C163</f>
        <v>0</v>
      </c>
      <c r="G163" s="16" t="e">
        <f>VLOOKUP(F163,제품코드!A:C,2,0)</f>
        <v>#N/A</v>
      </c>
      <c r="H163" s="21"/>
      <c r="I163" s="17">
        <f>DATA!L163</f>
        <v>0</v>
      </c>
      <c r="J163" s="15" t="e">
        <f>VLOOKUP(G163,제품코드!B:D,3,0)</f>
        <v>#N/A</v>
      </c>
      <c r="K163" s="8" t="e">
        <f t="shared" si="11"/>
        <v>#N/A</v>
      </c>
    </row>
    <row r="164" spans="2:11" ht="15.6">
      <c r="B164" s="5">
        <f>DATA!B164</f>
        <v>0</v>
      </c>
      <c r="C164" s="6" t="e">
        <f>VLOOKUP(B164,점포명!B:C,2,0)</f>
        <v>#N/A</v>
      </c>
      <c r="D164" s="5">
        <f>DATA!B164</f>
        <v>0</v>
      </c>
      <c r="E164" s="6" t="e">
        <f>VLOOKUP(D164,점포명!B:C,2,0)</f>
        <v>#N/A</v>
      </c>
      <c r="F164" s="7">
        <f>DATA!C164</f>
        <v>0</v>
      </c>
      <c r="G164" s="16" t="e">
        <f>VLOOKUP(F164,제품코드!A:C,2,0)</f>
        <v>#N/A</v>
      </c>
      <c r="H164" s="21"/>
      <c r="I164" s="17">
        <f>DATA!L164</f>
        <v>0</v>
      </c>
      <c r="J164" s="15" t="e">
        <f>VLOOKUP(G164,제품코드!B:D,3,0)</f>
        <v>#N/A</v>
      </c>
      <c r="K164" s="8" t="e">
        <f t="shared" si="11"/>
        <v>#N/A</v>
      </c>
    </row>
    <row r="165" spans="2:11" ht="15.6">
      <c r="B165" s="5">
        <f>DATA!B165</f>
        <v>0</v>
      </c>
      <c r="C165" s="6" t="e">
        <f>VLOOKUP(B165,점포명!B:C,2,0)</f>
        <v>#N/A</v>
      </c>
      <c r="D165" s="5">
        <f>DATA!B165</f>
        <v>0</v>
      </c>
      <c r="E165" s="6" t="e">
        <f>VLOOKUP(D165,점포명!B:C,2,0)</f>
        <v>#N/A</v>
      </c>
      <c r="F165" s="7">
        <f>DATA!C165</f>
        <v>0</v>
      </c>
      <c r="G165" s="16" t="e">
        <f>VLOOKUP(F165,제품코드!A:C,2,0)</f>
        <v>#N/A</v>
      </c>
      <c r="H165" s="21"/>
      <c r="I165" s="17">
        <f>DATA!L165</f>
        <v>0</v>
      </c>
      <c r="J165" s="15" t="e">
        <f>VLOOKUP(G165,제품코드!B:D,3,0)</f>
        <v>#N/A</v>
      </c>
      <c r="K165" s="8" t="e">
        <f t="shared" si="11"/>
        <v>#N/A</v>
      </c>
    </row>
    <row r="166" spans="2:11" ht="15.6">
      <c r="B166" s="5">
        <f>DATA!B166</f>
        <v>0</v>
      </c>
      <c r="C166" s="6" t="e">
        <f>VLOOKUP(B166,점포명!B:C,2,0)</f>
        <v>#N/A</v>
      </c>
      <c r="D166" s="5">
        <f>DATA!B166</f>
        <v>0</v>
      </c>
      <c r="E166" s="6" t="e">
        <f>VLOOKUP(D166,점포명!B:C,2,0)</f>
        <v>#N/A</v>
      </c>
      <c r="F166" s="7">
        <f>DATA!C166</f>
        <v>0</v>
      </c>
      <c r="G166" s="16" t="e">
        <f>VLOOKUP(F166,제품코드!A:C,2,0)</f>
        <v>#N/A</v>
      </c>
      <c r="H166" s="21"/>
      <c r="I166" s="17">
        <f>DATA!L166</f>
        <v>0</v>
      </c>
      <c r="J166" s="15" t="e">
        <f>VLOOKUP(G166,제품코드!B:D,3,0)</f>
        <v>#N/A</v>
      </c>
      <c r="K166" s="8" t="e">
        <f t="shared" si="11"/>
        <v>#N/A</v>
      </c>
    </row>
    <row r="167" spans="2:11" ht="15.6">
      <c r="B167" s="5">
        <f>DATA!B167</f>
        <v>0</v>
      </c>
      <c r="C167" s="6" t="e">
        <f>VLOOKUP(B167,점포명!B:C,2,0)</f>
        <v>#N/A</v>
      </c>
      <c r="D167" s="5">
        <f>DATA!B167</f>
        <v>0</v>
      </c>
      <c r="E167" s="6" t="e">
        <f>VLOOKUP(D167,점포명!B:C,2,0)</f>
        <v>#N/A</v>
      </c>
      <c r="F167" s="7">
        <f>DATA!C167</f>
        <v>0</v>
      </c>
      <c r="G167" s="16" t="e">
        <f>VLOOKUP(F167,제품코드!A:C,2,0)</f>
        <v>#N/A</v>
      </c>
      <c r="H167" s="21"/>
      <c r="I167" s="17">
        <f>DATA!L167</f>
        <v>0</v>
      </c>
      <c r="J167" s="15" t="e">
        <f>VLOOKUP(G167,제품코드!B:D,3,0)</f>
        <v>#N/A</v>
      </c>
      <c r="K167" s="8" t="e">
        <f t="shared" si="11"/>
        <v>#N/A</v>
      </c>
    </row>
    <row r="168" spans="2:11" ht="15.6">
      <c r="B168" s="5">
        <f>DATA!B168</f>
        <v>0</v>
      </c>
      <c r="C168" s="6" t="e">
        <f>VLOOKUP(B168,점포명!B:C,2,0)</f>
        <v>#N/A</v>
      </c>
      <c r="D168" s="5">
        <f>DATA!B168</f>
        <v>0</v>
      </c>
      <c r="E168" s="6" t="e">
        <f>VLOOKUP(D168,점포명!B:C,2,0)</f>
        <v>#N/A</v>
      </c>
      <c r="F168" s="7">
        <f>DATA!C168</f>
        <v>0</v>
      </c>
      <c r="G168" s="16" t="e">
        <f>VLOOKUP(F168,제품코드!A:C,2,0)</f>
        <v>#N/A</v>
      </c>
      <c r="H168" s="21"/>
      <c r="I168" s="17">
        <f>DATA!L168</f>
        <v>0</v>
      </c>
      <c r="J168" s="15" t="e">
        <f>VLOOKUP(G168,제품코드!B:D,3,0)</f>
        <v>#N/A</v>
      </c>
      <c r="K168" s="8" t="e">
        <f t="shared" si="11"/>
        <v>#N/A</v>
      </c>
    </row>
    <row r="169" spans="2:11" ht="15.6">
      <c r="B169" s="5">
        <f>DATA!B169</f>
        <v>0</v>
      </c>
      <c r="C169" s="6" t="e">
        <f>VLOOKUP(B169,점포명!B:C,2,0)</f>
        <v>#N/A</v>
      </c>
      <c r="D169" s="5">
        <f>DATA!B169</f>
        <v>0</v>
      </c>
      <c r="E169" s="6" t="e">
        <f>VLOOKUP(D169,점포명!B:C,2,0)</f>
        <v>#N/A</v>
      </c>
      <c r="F169" s="7">
        <f>DATA!C169</f>
        <v>0</v>
      </c>
      <c r="G169" s="16" t="e">
        <f>VLOOKUP(F169,제품코드!A:C,2,0)</f>
        <v>#N/A</v>
      </c>
      <c r="H169" s="21"/>
      <c r="I169" s="17">
        <f>DATA!L169</f>
        <v>0</v>
      </c>
      <c r="J169" s="15" t="e">
        <f>VLOOKUP(G169,제품코드!B:D,3,0)</f>
        <v>#N/A</v>
      </c>
      <c r="K169" s="8" t="e">
        <f t="shared" si="11"/>
        <v>#N/A</v>
      </c>
    </row>
    <row r="170" spans="2:11" ht="15.6">
      <c r="B170" s="5">
        <f>DATA!B170</f>
        <v>0</v>
      </c>
      <c r="C170" s="6" t="e">
        <f>VLOOKUP(B170,점포명!B:C,2,0)</f>
        <v>#N/A</v>
      </c>
      <c r="D170" s="5">
        <f>DATA!B170</f>
        <v>0</v>
      </c>
      <c r="E170" s="6" t="e">
        <f>VLOOKUP(D170,점포명!B:C,2,0)</f>
        <v>#N/A</v>
      </c>
      <c r="F170" s="7">
        <f>DATA!C170</f>
        <v>0</v>
      </c>
      <c r="G170" s="16" t="e">
        <f>VLOOKUP(F170,제품코드!A:C,2,0)</f>
        <v>#N/A</v>
      </c>
      <c r="H170" s="21"/>
      <c r="I170" s="17">
        <f>DATA!L170</f>
        <v>0</v>
      </c>
      <c r="J170" s="15" t="e">
        <f>VLOOKUP(G170,제품코드!B:D,3,0)</f>
        <v>#N/A</v>
      </c>
      <c r="K170" s="8" t="e">
        <f t="shared" si="11"/>
        <v>#N/A</v>
      </c>
    </row>
    <row r="171" spans="2:11" ht="15.6">
      <c r="B171" s="5">
        <f>DATA!B171</f>
        <v>0</v>
      </c>
      <c r="C171" s="6" t="e">
        <f>VLOOKUP(B171,점포명!B:C,2,0)</f>
        <v>#N/A</v>
      </c>
      <c r="D171" s="5">
        <f>DATA!B171</f>
        <v>0</v>
      </c>
      <c r="E171" s="6" t="e">
        <f>VLOOKUP(D171,점포명!B:C,2,0)</f>
        <v>#N/A</v>
      </c>
      <c r="F171" s="7">
        <f>DATA!C171</f>
        <v>0</v>
      </c>
      <c r="G171" s="16" t="e">
        <f>VLOOKUP(F171,제품코드!A:C,2,0)</f>
        <v>#N/A</v>
      </c>
      <c r="H171" s="21"/>
      <c r="I171" s="17">
        <f>DATA!L171</f>
        <v>0</v>
      </c>
      <c r="J171" s="15" t="e">
        <f>VLOOKUP(G171,제품코드!B:D,3,0)</f>
        <v>#N/A</v>
      </c>
      <c r="K171" s="8" t="e">
        <f t="shared" si="11"/>
        <v>#N/A</v>
      </c>
    </row>
    <row r="172" spans="2:11" ht="15.6">
      <c r="B172" s="5">
        <f>DATA!B172</f>
        <v>0</v>
      </c>
      <c r="C172" s="6" t="e">
        <f>VLOOKUP(B172,점포명!B:C,2,0)</f>
        <v>#N/A</v>
      </c>
      <c r="D172" s="5">
        <f>DATA!B172</f>
        <v>0</v>
      </c>
      <c r="E172" s="6" t="e">
        <f>VLOOKUP(D172,점포명!B:C,2,0)</f>
        <v>#N/A</v>
      </c>
      <c r="F172" s="7">
        <f>DATA!C172</f>
        <v>0</v>
      </c>
      <c r="G172" s="16" t="e">
        <f>VLOOKUP(F172,제품코드!A:C,2,0)</f>
        <v>#N/A</v>
      </c>
      <c r="H172" s="21"/>
      <c r="I172" s="17">
        <f>DATA!L172</f>
        <v>0</v>
      </c>
      <c r="J172" s="15" t="e">
        <f>VLOOKUP(G172,제품코드!B:D,3,0)</f>
        <v>#N/A</v>
      </c>
      <c r="K172" s="8" t="e">
        <f t="shared" si="11"/>
        <v>#N/A</v>
      </c>
    </row>
    <row r="173" spans="2:11" ht="15.6">
      <c r="B173" s="5">
        <f>DATA!B173</f>
        <v>0</v>
      </c>
      <c r="C173" s="6" t="e">
        <f>VLOOKUP(B173,점포명!B:C,2,0)</f>
        <v>#N/A</v>
      </c>
      <c r="D173" s="5">
        <f>DATA!B173</f>
        <v>0</v>
      </c>
      <c r="E173" s="6" t="e">
        <f>VLOOKUP(D173,점포명!B:C,2,0)</f>
        <v>#N/A</v>
      </c>
      <c r="F173" s="7">
        <f>DATA!C173</f>
        <v>0</v>
      </c>
      <c r="G173" s="16" t="e">
        <f>VLOOKUP(F173,제품코드!A:C,2,0)</f>
        <v>#N/A</v>
      </c>
      <c r="H173" s="21"/>
      <c r="I173" s="17">
        <f>DATA!L173</f>
        <v>0</v>
      </c>
      <c r="J173" s="15" t="e">
        <f>VLOOKUP(G173,제품코드!B:D,3,0)</f>
        <v>#N/A</v>
      </c>
      <c r="K173" s="8" t="e">
        <f t="shared" si="11"/>
        <v>#N/A</v>
      </c>
    </row>
    <row r="174" spans="2:11" ht="15.6">
      <c r="B174" s="5">
        <f>DATA!B174</f>
        <v>0</v>
      </c>
      <c r="C174" s="6" t="e">
        <f>VLOOKUP(B174,점포명!B:C,2,0)</f>
        <v>#N/A</v>
      </c>
      <c r="D174" s="5">
        <f>DATA!B174</f>
        <v>0</v>
      </c>
      <c r="E174" s="6" t="e">
        <f>VLOOKUP(D174,점포명!B:C,2,0)</f>
        <v>#N/A</v>
      </c>
      <c r="F174" s="7">
        <f>DATA!C174</f>
        <v>0</v>
      </c>
      <c r="G174" s="16" t="e">
        <f>VLOOKUP(F174,제품코드!A:C,2,0)</f>
        <v>#N/A</v>
      </c>
      <c r="H174" s="21"/>
      <c r="I174" s="17">
        <f>DATA!L174</f>
        <v>0</v>
      </c>
      <c r="J174" s="15" t="e">
        <f>VLOOKUP(G174,제품코드!B:D,3,0)</f>
        <v>#N/A</v>
      </c>
      <c r="K174" s="8" t="e">
        <f t="shared" si="11"/>
        <v>#N/A</v>
      </c>
    </row>
    <row r="175" spans="2:11" ht="15.6">
      <c r="B175" s="5">
        <f>DATA!B175</f>
        <v>0</v>
      </c>
      <c r="C175" s="6" t="e">
        <f>VLOOKUP(B175,점포명!B:C,2,0)</f>
        <v>#N/A</v>
      </c>
      <c r="D175" s="5">
        <f>DATA!B175</f>
        <v>0</v>
      </c>
      <c r="E175" s="6" t="e">
        <f>VLOOKUP(D175,점포명!B:C,2,0)</f>
        <v>#N/A</v>
      </c>
      <c r="F175" s="7">
        <f>DATA!C175</f>
        <v>0</v>
      </c>
      <c r="G175" s="16" t="e">
        <f>VLOOKUP(F175,제품코드!A:C,2,0)</f>
        <v>#N/A</v>
      </c>
      <c r="H175" s="21"/>
      <c r="I175" s="17">
        <f>DATA!L175</f>
        <v>0</v>
      </c>
      <c r="J175" s="15" t="e">
        <f>VLOOKUP(G175,제품코드!B:D,3,0)</f>
        <v>#N/A</v>
      </c>
      <c r="K175" s="8" t="e">
        <f t="shared" si="11"/>
        <v>#N/A</v>
      </c>
    </row>
    <row r="176" spans="2:11" ht="15.6">
      <c r="B176" s="5">
        <f>DATA!B176</f>
        <v>0</v>
      </c>
      <c r="C176" s="6" t="e">
        <f>VLOOKUP(B176,점포명!B:C,2,0)</f>
        <v>#N/A</v>
      </c>
      <c r="D176" s="5">
        <f>DATA!B176</f>
        <v>0</v>
      </c>
      <c r="E176" s="6" t="e">
        <f>VLOOKUP(D176,점포명!B:C,2,0)</f>
        <v>#N/A</v>
      </c>
      <c r="F176" s="7">
        <f>DATA!C176</f>
        <v>0</v>
      </c>
      <c r="G176" s="16" t="e">
        <f>VLOOKUP(F176,제품코드!A:C,2,0)</f>
        <v>#N/A</v>
      </c>
      <c r="H176" s="21"/>
      <c r="I176" s="17">
        <f>DATA!L176</f>
        <v>0</v>
      </c>
      <c r="J176" s="15" t="e">
        <f>VLOOKUP(G176,제품코드!B:D,3,0)</f>
        <v>#N/A</v>
      </c>
      <c r="K176" s="8" t="e">
        <f t="shared" si="11"/>
        <v>#N/A</v>
      </c>
    </row>
    <row r="177" spans="2:11" ht="15.6">
      <c r="B177" s="5">
        <f>DATA!B177</f>
        <v>0</v>
      </c>
      <c r="C177" s="6" t="e">
        <f>VLOOKUP(B177,점포명!B:C,2,0)</f>
        <v>#N/A</v>
      </c>
      <c r="D177" s="5">
        <f>DATA!B177</f>
        <v>0</v>
      </c>
      <c r="E177" s="6" t="e">
        <f>VLOOKUP(D177,점포명!B:C,2,0)</f>
        <v>#N/A</v>
      </c>
      <c r="F177" s="7">
        <f>DATA!C177</f>
        <v>0</v>
      </c>
      <c r="G177" s="16" t="e">
        <f>VLOOKUP(F177,제품코드!A:C,2,0)</f>
        <v>#N/A</v>
      </c>
      <c r="H177" s="21"/>
      <c r="I177" s="17">
        <f>DATA!L177</f>
        <v>0</v>
      </c>
      <c r="J177" s="15" t="e">
        <f>VLOOKUP(G177,제품코드!B:D,3,0)</f>
        <v>#N/A</v>
      </c>
      <c r="K177" s="8" t="e">
        <f t="shared" si="11"/>
        <v>#N/A</v>
      </c>
    </row>
    <row r="178" spans="2:11" ht="15.6">
      <c r="B178" s="5">
        <f>DATA!B178</f>
        <v>0</v>
      </c>
      <c r="C178" s="6" t="e">
        <f>VLOOKUP(B178,점포명!B:C,2,0)</f>
        <v>#N/A</v>
      </c>
      <c r="D178" s="5">
        <f>DATA!B178</f>
        <v>0</v>
      </c>
      <c r="E178" s="6" t="e">
        <f>VLOOKUP(D178,점포명!B:C,2,0)</f>
        <v>#N/A</v>
      </c>
      <c r="F178" s="7">
        <f>DATA!C178</f>
        <v>0</v>
      </c>
      <c r="G178" s="16" t="e">
        <f>VLOOKUP(F178,제품코드!A:C,2,0)</f>
        <v>#N/A</v>
      </c>
      <c r="H178" s="21"/>
      <c r="I178" s="17">
        <f>DATA!L178</f>
        <v>0</v>
      </c>
      <c r="J178" s="15" t="e">
        <f>VLOOKUP(G178,제품코드!B:D,3,0)</f>
        <v>#N/A</v>
      </c>
      <c r="K178" s="8" t="e">
        <f t="shared" si="11"/>
        <v>#N/A</v>
      </c>
    </row>
    <row r="179" spans="2:11" ht="15.6">
      <c r="B179" s="5">
        <f>DATA!B179</f>
        <v>0</v>
      </c>
      <c r="C179" s="6" t="e">
        <f>VLOOKUP(B179,점포명!B:C,2,0)</f>
        <v>#N/A</v>
      </c>
      <c r="D179" s="5">
        <f>DATA!B179</f>
        <v>0</v>
      </c>
      <c r="E179" s="6" t="e">
        <f>VLOOKUP(D179,점포명!B:C,2,0)</f>
        <v>#N/A</v>
      </c>
      <c r="F179" s="7">
        <f>DATA!C179</f>
        <v>0</v>
      </c>
      <c r="G179" s="16" t="e">
        <f>VLOOKUP(F179,제품코드!A:C,2,0)</f>
        <v>#N/A</v>
      </c>
      <c r="H179" s="21"/>
      <c r="I179" s="17">
        <f>DATA!L179</f>
        <v>0</v>
      </c>
      <c r="J179" s="15" t="e">
        <f>VLOOKUP(G179,제품코드!B:D,3,0)</f>
        <v>#N/A</v>
      </c>
      <c r="K179" s="8" t="e">
        <f t="shared" si="11"/>
        <v>#N/A</v>
      </c>
    </row>
    <row r="180" spans="2:11" ht="15.6">
      <c r="B180" s="5">
        <f>DATA!B180</f>
        <v>0</v>
      </c>
      <c r="C180" s="6" t="e">
        <f>VLOOKUP(B180,점포명!B:C,2,0)</f>
        <v>#N/A</v>
      </c>
      <c r="D180" s="5">
        <f>DATA!B180</f>
        <v>0</v>
      </c>
      <c r="E180" s="6" t="e">
        <f>VLOOKUP(D180,점포명!B:C,2,0)</f>
        <v>#N/A</v>
      </c>
      <c r="F180" s="7">
        <f>DATA!C180</f>
        <v>0</v>
      </c>
      <c r="G180" s="16" t="e">
        <f>VLOOKUP(F180,제품코드!A:C,2,0)</f>
        <v>#N/A</v>
      </c>
      <c r="H180" s="21"/>
      <c r="I180" s="17">
        <f>DATA!L180</f>
        <v>0</v>
      </c>
      <c r="J180" s="15" t="e">
        <f>VLOOKUP(G180,제품코드!B:D,3,0)</f>
        <v>#N/A</v>
      </c>
      <c r="K180" s="8" t="e">
        <f t="shared" si="11"/>
        <v>#N/A</v>
      </c>
    </row>
    <row r="181" spans="2:11" ht="15.6">
      <c r="B181" s="5">
        <f>DATA!B181</f>
        <v>0</v>
      </c>
      <c r="C181" s="6" t="e">
        <f>VLOOKUP(B181,점포명!B:C,2,0)</f>
        <v>#N/A</v>
      </c>
      <c r="D181" s="5">
        <f>DATA!B181</f>
        <v>0</v>
      </c>
      <c r="E181" s="6" t="e">
        <f>VLOOKUP(D181,점포명!B:C,2,0)</f>
        <v>#N/A</v>
      </c>
      <c r="F181" s="7">
        <f>DATA!C181</f>
        <v>0</v>
      </c>
      <c r="G181" s="16" t="e">
        <f>VLOOKUP(F181,제품코드!A:C,2,0)</f>
        <v>#N/A</v>
      </c>
      <c r="H181" s="21"/>
      <c r="I181" s="17">
        <f>DATA!L181</f>
        <v>0</v>
      </c>
      <c r="J181" s="15" t="e">
        <f>VLOOKUP(G181,제품코드!B:D,3,0)</f>
        <v>#N/A</v>
      </c>
      <c r="K181" s="8" t="e">
        <f t="shared" si="11"/>
        <v>#N/A</v>
      </c>
    </row>
    <row r="182" spans="2:11" ht="15.6">
      <c r="B182" s="5">
        <f>DATA!B182</f>
        <v>0</v>
      </c>
      <c r="C182" s="6" t="e">
        <f>VLOOKUP(B182,점포명!B:C,2,0)</f>
        <v>#N/A</v>
      </c>
      <c r="D182" s="5">
        <f>DATA!B182</f>
        <v>0</v>
      </c>
      <c r="E182" s="6" t="e">
        <f>VLOOKUP(D182,점포명!B:C,2,0)</f>
        <v>#N/A</v>
      </c>
      <c r="F182" s="7">
        <f>DATA!C182</f>
        <v>0</v>
      </c>
      <c r="G182" s="16" t="e">
        <f>VLOOKUP(F182,제품코드!A:C,2,0)</f>
        <v>#N/A</v>
      </c>
      <c r="H182" s="21"/>
      <c r="I182" s="17">
        <f>DATA!L182</f>
        <v>0</v>
      </c>
      <c r="J182" s="15" t="e">
        <f>VLOOKUP(G182,제품코드!B:D,3,0)</f>
        <v>#N/A</v>
      </c>
      <c r="K182" s="8" t="e">
        <f t="shared" si="11"/>
        <v>#N/A</v>
      </c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8"/>
  <sheetViews>
    <sheetView zoomScale="115" zoomScaleNormal="115" workbookViewId="0">
      <pane ySplit="1" topLeftCell="A2" activePane="bottomLeft" state="frozen"/>
      <selection pane="bottomLeft" activeCell="D3" sqref="D3"/>
    </sheetView>
  </sheetViews>
  <sheetFormatPr defaultColWidth="9" defaultRowHeight="15.6"/>
  <cols>
    <col min="1" max="1" width="15.59765625" style="13" bestFit="1" customWidth="1"/>
    <col min="2" max="2" width="12.59765625" style="13" bestFit="1" customWidth="1"/>
    <col min="3" max="3" width="23.69921875" style="26" bestFit="1" customWidth="1"/>
    <col min="4" max="4" width="8.69921875" style="31" bestFit="1" customWidth="1"/>
    <col min="5" max="16384" width="9" style="13"/>
  </cols>
  <sheetData>
    <row r="1" spans="1:5">
      <c r="A1" s="11" t="s">
        <v>36</v>
      </c>
      <c r="B1" s="11" t="s">
        <v>37</v>
      </c>
      <c r="C1" s="12" t="s">
        <v>38</v>
      </c>
      <c r="D1" s="28" t="s">
        <v>39</v>
      </c>
      <c r="E1" s="13" t="s">
        <v>96</v>
      </c>
    </row>
    <row r="2" spans="1:5" ht="17.399999999999999">
      <c r="A2" s="33">
        <v>8809020345212</v>
      </c>
      <c r="B2" s="14" t="s">
        <v>97</v>
      </c>
      <c r="C2" s="25" t="s">
        <v>21</v>
      </c>
      <c r="D2" s="29">
        <v>2303</v>
      </c>
    </row>
    <row r="3" spans="1:5">
      <c r="A3" s="27">
        <v>8809020342419</v>
      </c>
      <c r="B3" s="14" t="s">
        <v>86</v>
      </c>
      <c r="C3" s="14" t="s">
        <v>88</v>
      </c>
      <c r="D3" s="30">
        <v>2073</v>
      </c>
    </row>
    <row r="4" spans="1:5">
      <c r="A4" s="27">
        <v>8809020342211</v>
      </c>
      <c r="B4" s="14" t="s">
        <v>87</v>
      </c>
      <c r="C4" s="14" t="s">
        <v>89</v>
      </c>
      <c r="D4" s="30">
        <v>2073</v>
      </c>
    </row>
    <row r="5" spans="1:5">
      <c r="A5" s="34">
        <v>8809020341207</v>
      </c>
      <c r="B5" s="13" t="s">
        <v>95</v>
      </c>
      <c r="C5" s="13" t="s">
        <v>94</v>
      </c>
      <c r="D5" s="37">
        <v>4950</v>
      </c>
    </row>
    <row r="6" spans="1:5">
      <c r="A6" s="34">
        <v>8809020345229</v>
      </c>
      <c r="B6" s="13" t="s">
        <v>98</v>
      </c>
      <c r="C6" s="26" t="s">
        <v>99</v>
      </c>
      <c r="D6" s="31">
        <v>2550</v>
      </c>
    </row>
    <row r="7" spans="1:5">
      <c r="A7" s="13">
        <v>8809020343744</v>
      </c>
      <c r="B7" s="13" t="s">
        <v>110</v>
      </c>
      <c r="C7" s="26" t="s">
        <v>109</v>
      </c>
      <c r="D7" s="31">
        <v>1364</v>
      </c>
    </row>
    <row r="8" spans="1:5">
      <c r="A8" s="13">
        <v>8809020344567</v>
      </c>
      <c r="B8" s="13" t="s">
        <v>131</v>
      </c>
      <c r="C8" s="26" t="s">
        <v>130</v>
      </c>
      <c r="D8" s="31">
        <v>2316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34"/>
  <sheetViews>
    <sheetView topLeftCell="A10" zoomScale="96" zoomScaleNormal="96" workbookViewId="0">
      <selection activeCell="B37" sqref="B37"/>
    </sheetView>
  </sheetViews>
  <sheetFormatPr defaultRowHeight="17.399999999999999"/>
  <cols>
    <col min="1" max="1" width="20.19921875" bestFit="1" customWidth="1"/>
    <col min="2" max="2" width="19.19921875" bestFit="1" customWidth="1"/>
  </cols>
  <sheetData>
    <row r="1" spans="1:6">
      <c r="A1" s="23"/>
      <c r="B1" s="23" t="s">
        <v>69</v>
      </c>
      <c r="C1" s="23" t="s">
        <v>70</v>
      </c>
      <c r="D1" s="23"/>
      <c r="E1" s="23"/>
      <c r="F1" s="23"/>
    </row>
    <row r="2" spans="1:6">
      <c r="A2" s="23" t="s">
        <v>40</v>
      </c>
      <c r="B2" s="23" t="s">
        <v>20</v>
      </c>
      <c r="C2" s="23">
        <v>82032001</v>
      </c>
      <c r="D2" s="23"/>
      <c r="E2" s="23"/>
      <c r="F2" s="23"/>
    </row>
    <row r="3" spans="1:6">
      <c r="A3" s="23" t="s">
        <v>41</v>
      </c>
      <c r="B3" s="23" t="s">
        <v>22</v>
      </c>
      <c r="C3" s="23">
        <v>82032002</v>
      </c>
      <c r="D3" s="23"/>
      <c r="E3" s="23"/>
      <c r="F3" s="23"/>
    </row>
    <row r="4" spans="1:6">
      <c r="A4" s="23" t="s">
        <v>42</v>
      </c>
      <c r="B4" s="23" t="s">
        <v>75</v>
      </c>
      <c r="C4" s="23">
        <v>82032009</v>
      </c>
      <c r="D4" s="23"/>
      <c r="E4" s="23"/>
      <c r="F4" s="23"/>
    </row>
    <row r="5" spans="1:6">
      <c r="A5" s="23" t="s">
        <v>43</v>
      </c>
      <c r="B5" s="23" t="s">
        <v>44</v>
      </c>
      <c r="C5" s="23">
        <v>82032003</v>
      </c>
      <c r="D5" s="23"/>
      <c r="E5" s="23"/>
      <c r="F5" s="23"/>
    </row>
    <row r="6" spans="1:6">
      <c r="A6" s="23" t="s">
        <v>45</v>
      </c>
      <c r="B6" s="23" t="s">
        <v>92</v>
      </c>
      <c r="C6" s="23">
        <v>82032010</v>
      </c>
      <c r="D6" s="23"/>
      <c r="E6" s="23"/>
      <c r="F6" s="23"/>
    </row>
    <row r="7" spans="1:6">
      <c r="A7" s="23" t="s">
        <v>23</v>
      </c>
      <c r="B7" s="23" t="s">
        <v>23</v>
      </c>
      <c r="C7" s="23">
        <v>82032008</v>
      </c>
      <c r="D7" s="23"/>
      <c r="E7" s="23"/>
      <c r="F7" s="23"/>
    </row>
    <row r="8" spans="1:6">
      <c r="A8" s="23" t="s">
        <v>46</v>
      </c>
      <c r="B8" s="23" t="s">
        <v>47</v>
      </c>
      <c r="C8" s="23">
        <v>82032012</v>
      </c>
      <c r="D8" s="23"/>
      <c r="E8" s="23"/>
      <c r="F8" s="23"/>
    </row>
    <row r="9" spans="1:6">
      <c r="A9" s="23" t="s">
        <v>48</v>
      </c>
      <c r="B9" s="22" t="s">
        <v>81</v>
      </c>
      <c r="C9" s="23">
        <v>82032004</v>
      </c>
      <c r="D9" s="23"/>
      <c r="E9" s="23"/>
      <c r="F9" s="23"/>
    </row>
    <row r="10" spans="1:6">
      <c r="A10" s="23" t="s">
        <v>49</v>
      </c>
      <c r="B10" s="23" t="s">
        <v>49</v>
      </c>
      <c r="C10" s="23">
        <v>82032007</v>
      </c>
      <c r="D10" s="23"/>
      <c r="E10" s="23"/>
      <c r="F10" s="23"/>
    </row>
    <row r="11" spans="1:6">
      <c r="A11" s="23" t="s">
        <v>50</v>
      </c>
      <c r="B11" s="23" t="s">
        <v>50</v>
      </c>
      <c r="C11" s="23"/>
      <c r="D11" s="23"/>
      <c r="E11" s="23"/>
      <c r="F11" s="23"/>
    </row>
    <row r="12" spans="1:6">
      <c r="A12" s="23" t="s">
        <v>51</v>
      </c>
      <c r="B12" s="23" t="s">
        <v>51</v>
      </c>
      <c r="C12" s="23"/>
      <c r="D12" s="23"/>
      <c r="E12" s="23"/>
      <c r="F12" s="23"/>
    </row>
    <row r="13" spans="1:6">
      <c r="A13" s="23" t="s">
        <v>52</v>
      </c>
      <c r="B13" s="23" t="s">
        <v>52</v>
      </c>
      <c r="C13" s="23"/>
      <c r="D13" s="23"/>
      <c r="E13" s="23"/>
      <c r="F13" s="23"/>
    </row>
    <row r="14" spans="1:6">
      <c r="A14" s="23" t="s">
        <v>53</v>
      </c>
      <c r="B14" s="23" t="s">
        <v>53</v>
      </c>
      <c r="C14" s="23"/>
      <c r="D14" s="23"/>
      <c r="E14" s="23"/>
      <c r="F14" s="23"/>
    </row>
    <row r="15" spans="1:6">
      <c r="A15" s="23" t="s">
        <v>54</v>
      </c>
      <c r="B15" s="23" t="s">
        <v>55</v>
      </c>
      <c r="C15" s="23"/>
      <c r="D15" s="23"/>
      <c r="E15" s="23"/>
      <c r="F15" s="23"/>
    </row>
    <row r="16" spans="1:6">
      <c r="A16" s="23" t="s">
        <v>56</v>
      </c>
      <c r="B16" s="23" t="s">
        <v>56</v>
      </c>
      <c r="C16" s="23">
        <v>82032005</v>
      </c>
      <c r="D16" s="23"/>
      <c r="E16" s="23"/>
      <c r="F16" s="23"/>
    </row>
    <row r="17" spans="1:6">
      <c r="A17" s="23" t="s">
        <v>57</v>
      </c>
      <c r="B17" s="23" t="s">
        <v>58</v>
      </c>
      <c r="C17" s="23">
        <v>82032013</v>
      </c>
      <c r="D17" s="23"/>
      <c r="E17" s="23"/>
      <c r="F17" s="23"/>
    </row>
    <row r="18" spans="1:6">
      <c r="A18" s="23" t="s">
        <v>59</v>
      </c>
      <c r="B18" s="23" t="s">
        <v>60</v>
      </c>
      <c r="C18" s="23">
        <v>82032014</v>
      </c>
      <c r="D18" s="23"/>
      <c r="E18" s="23"/>
      <c r="F18" s="23"/>
    </row>
    <row r="19" spans="1:6">
      <c r="A19" s="23" t="s">
        <v>61</v>
      </c>
      <c r="B19" s="23" t="s">
        <v>24</v>
      </c>
      <c r="C19" s="23">
        <v>82032015</v>
      </c>
      <c r="D19" s="23"/>
      <c r="E19" s="23"/>
      <c r="F19" s="23"/>
    </row>
    <row r="20" spans="1:6">
      <c r="A20" s="23" t="s">
        <v>62</v>
      </c>
      <c r="B20" s="23" t="s">
        <v>72</v>
      </c>
      <c r="C20" s="23">
        <v>82032016</v>
      </c>
      <c r="D20" s="23"/>
      <c r="E20" s="23"/>
      <c r="F20" s="23"/>
    </row>
    <row r="21" spans="1:6">
      <c r="A21" s="23" t="s">
        <v>63</v>
      </c>
      <c r="B21" s="23" t="s">
        <v>51</v>
      </c>
      <c r="C21" s="23"/>
      <c r="D21" s="23"/>
      <c r="E21" s="23"/>
      <c r="F21" s="23"/>
    </row>
    <row r="22" spans="1:6">
      <c r="A22" s="23" t="s">
        <v>64</v>
      </c>
      <c r="B22" s="23" t="s">
        <v>65</v>
      </c>
      <c r="C22" s="23"/>
      <c r="D22" s="23"/>
      <c r="E22" s="23"/>
      <c r="F22" s="23"/>
    </row>
    <row r="23" spans="1:6">
      <c r="A23" s="23" t="s">
        <v>66</v>
      </c>
      <c r="B23" s="23" t="s">
        <v>25</v>
      </c>
      <c r="C23" s="23">
        <v>82032017</v>
      </c>
      <c r="D23" s="23"/>
      <c r="E23" s="23"/>
      <c r="F23" s="23"/>
    </row>
    <row r="24" spans="1:6">
      <c r="A24" s="23" t="s">
        <v>67</v>
      </c>
      <c r="B24" s="23" t="s">
        <v>68</v>
      </c>
      <c r="C24" s="23"/>
      <c r="D24" s="23"/>
      <c r="E24" s="23"/>
      <c r="F24" s="23"/>
    </row>
    <row r="25" spans="1:6">
      <c r="A25" s="23" t="s">
        <v>74</v>
      </c>
      <c r="B25" s="23" t="s">
        <v>73</v>
      </c>
      <c r="C25" s="23">
        <v>82032019</v>
      </c>
      <c r="D25" s="23"/>
      <c r="E25" s="23"/>
      <c r="F25" s="23"/>
    </row>
    <row r="26" spans="1:6">
      <c r="A26" s="22" t="s">
        <v>85</v>
      </c>
      <c r="B26" s="22" t="s">
        <v>85</v>
      </c>
      <c r="C26" s="23">
        <v>82032019</v>
      </c>
      <c r="D26" s="23"/>
      <c r="E26" s="23"/>
      <c r="F26" s="23"/>
    </row>
    <row r="27" spans="1:6">
      <c r="A27" s="23" t="s">
        <v>76</v>
      </c>
      <c r="B27" s="23" t="s">
        <v>76</v>
      </c>
      <c r="C27" s="23">
        <v>82032020</v>
      </c>
      <c r="D27" s="23"/>
      <c r="E27" s="23"/>
      <c r="F27" s="23"/>
    </row>
    <row r="28" spans="1:6">
      <c r="A28" s="5" t="s">
        <v>90</v>
      </c>
      <c r="B28" s="5" t="s">
        <v>90</v>
      </c>
      <c r="C28" s="23">
        <v>82032021</v>
      </c>
      <c r="D28" s="23"/>
      <c r="E28" s="23"/>
      <c r="F28" s="23"/>
    </row>
    <row r="29" spans="1:6">
      <c r="A29" s="23" t="s">
        <v>77</v>
      </c>
      <c r="B29" s="22" t="s">
        <v>78</v>
      </c>
      <c r="C29" s="23">
        <v>82032022</v>
      </c>
      <c r="D29" s="23"/>
      <c r="E29" s="23"/>
      <c r="F29" s="23"/>
    </row>
    <row r="30" spans="1:6">
      <c r="A30" s="23" t="s">
        <v>80</v>
      </c>
      <c r="B30" s="23" t="s">
        <v>79</v>
      </c>
      <c r="C30" s="23">
        <v>82032023</v>
      </c>
      <c r="D30" s="23"/>
      <c r="E30" s="23"/>
      <c r="F30" s="23"/>
    </row>
    <row r="31" spans="1:6">
      <c r="A31" s="23" t="s">
        <v>82</v>
      </c>
      <c r="B31" s="23" t="s">
        <v>82</v>
      </c>
      <c r="C31" s="23">
        <v>82032024</v>
      </c>
      <c r="D31" s="23"/>
      <c r="E31" s="23"/>
      <c r="F31" s="23"/>
    </row>
    <row r="32" spans="1:6">
      <c r="A32" s="24" t="s">
        <v>83</v>
      </c>
      <c r="B32" s="24" t="s">
        <v>83</v>
      </c>
      <c r="C32" s="24">
        <v>82032025</v>
      </c>
      <c r="D32" s="23"/>
      <c r="E32" s="23"/>
      <c r="F32" s="23"/>
    </row>
    <row r="33" spans="2:3">
      <c r="B33" s="24" t="s">
        <v>84</v>
      </c>
      <c r="C33" s="24">
        <v>82032026</v>
      </c>
    </row>
    <row r="34" spans="2:3">
      <c r="B34" t="s">
        <v>91</v>
      </c>
      <c r="C34" s="24">
        <v>82032027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DATA</vt:lpstr>
      <vt:lpstr>서식파일(수주업로드)</vt:lpstr>
      <vt:lpstr>제품코드</vt:lpstr>
      <vt:lpstr>점포명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park jh</cp:lastModifiedBy>
  <dcterms:created xsi:type="dcterms:W3CDTF">2015-02-02T05:31:49Z</dcterms:created>
  <dcterms:modified xsi:type="dcterms:W3CDTF">2026-03-24T05:10:48Z</dcterms:modified>
</cp:coreProperties>
</file>